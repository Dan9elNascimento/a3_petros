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Casos de teste" sheetId="2" state="visible" r:id="rId4"/>
    <sheet name="Guia de erros" sheetId="3" state="visible" r:id="rId5"/>
  </sheets>
  <definedNames>
    <definedName function="false" hidden="true" localSheetId="1" name="_xlnm._FilterDatabase" vbProcedure="false">'Casos de teste'!$A$1:$N$142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<sst xmlns="http://schemas.openxmlformats.org/spreadsheetml/2006/main" count="1815" uniqueCount="989">
  <si>
    <t xml:space="preserve">Estoque Inteligente - Plano de casos de teste</t>
  </si>
  <si>
    <t xml:space="preserve">Os contadores recalculam a partir da aba 'Casos de teste'. Edite apenas Status, Responsável e Observações naquela aba.</t>
  </si>
  <si>
    <t xml:space="preserve">Código</t>
  </si>
  <si>
    <t xml:space="preserve">Módulo</t>
  </si>
  <si>
    <t xml:space="preserve">Total</t>
  </si>
  <si>
    <t xml:space="preserve">Positivo</t>
  </si>
  <si>
    <t xml:space="preserve">Negativo</t>
  </si>
  <si>
    <t xml:space="preserve">Regra/limite</t>
  </si>
  <si>
    <t xml:space="preserve">Passou</t>
  </si>
  <si>
    <t xml:space="preserve">Falhou</t>
  </si>
  <si>
    <t xml:space="preserve">Pendente</t>
  </si>
  <si>
    <t xml:space="preserve">AUT</t>
  </si>
  <si>
    <t xml:space="preserve">Autenticar</t>
  </si>
  <si>
    <t xml:space="preserve">USR</t>
  </si>
  <si>
    <t xml:space="preserve">Usuários</t>
  </si>
  <si>
    <t xml:space="preserve">PER</t>
  </si>
  <si>
    <t xml:space="preserve">Permissões</t>
  </si>
  <si>
    <t xml:space="preserve">FOR</t>
  </si>
  <si>
    <t xml:space="preserve">Fornecedores</t>
  </si>
  <si>
    <t xml:space="preserve">PRO</t>
  </si>
  <si>
    <t xml:space="preserve">Produtos</t>
  </si>
  <si>
    <t xml:space="preserve">LOT</t>
  </si>
  <si>
    <t xml:space="preserve">Lotes</t>
  </si>
  <si>
    <t xml:space="preserve">ENT</t>
  </si>
  <si>
    <t xml:space="preserve">Entrada</t>
  </si>
  <si>
    <t xml:space="preserve">SAI</t>
  </si>
  <si>
    <t xml:space="preserve">Saída e FEFO</t>
  </si>
  <si>
    <t xml:space="preserve">AJU</t>
  </si>
  <si>
    <t xml:space="preserve">Ajuste</t>
  </si>
  <si>
    <t xml:space="preserve">HIS</t>
  </si>
  <si>
    <t xml:space="preserve">Histórico</t>
  </si>
  <si>
    <t xml:space="preserve">ALE</t>
  </si>
  <si>
    <t xml:space="preserve">Alertas</t>
  </si>
  <si>
    <t xml:space="preserve">SEG</t>
  </si>
  <si>
    <t xml:space="preserve">Segurança</t>
  </si>
  <si>
    <t xml:space="preserve">VAL</t>
  </si>
  <si>
    <t xml:space="preserve">Validação de entrada</t>
  </si>
  <si>
    <t xml:space="preserve">BD</t>
  </si>
  <si>
    <t xml:space="preserve">Banco e migrations</t>
  </si>
  <si>
    <t xml:space="preserve">INT</t>
  </si>
  <si>
    <t xml:space="preserve">Integração</t>
  </si>
  <si>
    <t xml:space="preserve">API</t>
  </si>
  <si>
    <t xml:space="preserve">Contrato da API</t>
  </si>
  <si>
    <t xml:space="preserve">DES</t>
  </si>
  <si>
    <t xml:space="preserve">Desempenho</t>
  </si>
  <si>
    <t xml:space="preserve">Tipo: Positivo = fluxo feliz · Negativo = erro esperado (401, 403, 404, 422) · Regra/limite = regra de negócio ou valor-limite.</t>
  </si>
  <si>
    <t xml:space="preserve">Casos como AUT-10, FOR-05, USR-06, USR-09, SAI-13 e PER-06 dependem de o recurso existir no código. Se não existir, é pendência do sistema (status N/A).</t>
  </si>
  <si>
    <t xml:space="preserve">Os resultados esperados seguem o padrão FastAPI (422 validação, 409 conflito) e foram escritos a partir do README, sem ler o código. Ajuste se o projeto adotar outros códigos.</t>
  </si>
  <si>
    <t xml:space="preserve">ID</t>
  </si>
  <si>
    <t xml:space="preserve">Grupo</t>
  </si>
  <si>
    <t xml:space="preserve">Tipo</t>
  </si>
  <si>
    <t xml:space="preserve">Caso de teste</t>
  </si>
  <si>
    <t xml:space="preserve">Pré-condição</t>
  </si>
  <si>
    <t xml:space="preserve">Passos</t>
  </si>
  <si>
    <t xml:space="preserve">Resultado esperado</t>
  </si>
  <si>
    <t xml:space="preserve">O que NÃO deve acontecer</t>
  </si>
  <si>
    <t xml:space="preserve">Se falhar: o que fazer</t>
  </si>
  <si>
    <t xml:space="preserve">Severidade se falhar</t>
  </si>
  <si>
    <t xml:space="preserve">Status</t>
  </si>
  <si>
    <t xml:space="preserve">Responsável</t>
  </si>
  <si>
    <t xml:space="preserve">Observações</t>
  </si>
  <si>
    <t xml:space="preserve">AUT-01</t>
  </si>
  <si>
    <t xml:space="preserve">Funcional</t>
  </si>
  <si>
    <t xml:space="preserve">Login válido retorna token JWT</t>
  </si>
  <si>
    <t xml:space="preserve">Usuário ativo cadastrado.</t>
  </si>
  <si>
    <t xml:space="preserve">Enviar e-mail e senha corretos ao login.</t>
  </si>
  <si>
    <t xml:space="preserve">200 com token JWT (tipo bearer). Senha e hash ausentes na resposta.</t>
  </si>
  <si>
    <t xml:space="preserve">Token vazio, erro 5xx, senha ou hash na resposta.</t>
  </si>
  <si>
    <t xml:space="preserve">Conferir verificação Argon2 e geração do JWT. Se a senha confere e o login falha, abrir bug.</t>
  </si>
  <si>
    <t xml:space="preserve">Crítica</t>
  </si>
  <si>
    <t xml:space="preserve">AUT-02</t>
  </si>
  <si>
    <t xml:space="preserve">Token válido acessa rota protegida</t>
  </si>
  <si>
    <t xml:space="preserve">Token válido obtido no login.</t>
  </si>
  <si>
    <t xml:space="preserve">Chamar uma rota protegida com o cabeçalho Authorization: Bearer &lt;token&gt;.</t>
  </si>
  <si>
    <t xml:space="preserve">200 e dados da rota.</t>
  </si>
  <si>
    <t xml:space="preserve">401 com token válido. Rota liberada sem checar o token.</t>
  </si>
  <si>
    <t xml:space="preserve">Comparar segredo e algoritmo usados na emissão e na validação do JWT.</t>
  </si>
  <si>
    <t xml:space="preserve">AUT-03</t>
  </si>
  <si>
    <t xml:space="preserve">Senha incorreta retorna 401</t>
  </si>
  <si>
    <t xml:space="preserve">Fazer login com a senha errada.</t>
  </si>
  <si>
    <t xml:space="preserve">401 com mensagem genérica (ex.: credenciais inválidas).</t>
  </si>
  <si>
    <t xml:space="preserve">200. Mensagem que revela se o e-mail existe. Erro 500.</t>
  </si>
  <si>
    <t xml:space="preserve">Revisar a verificação de senha. Se vier 500, anexar o traceback do log ao bug.</t>
  </si>
  <si>
    <t xml:space="preserve">AUT-04</t>
  </si>
  <si>
    <t xml:space="preserve">Usuário inexistente retorna 401</t>
  </si>
  <si>
    <t xml:space="preserve">E-mail sem cadastro.</t>
  </si>
  <si>
    <t xml:space="preserve">Fazer login com e-mail inexistente.</t>
  </si>
  <si>
    <t xml:space="preserve">401 com a mesma mensagem do AUT-03.</t>
  </si>
  <si>
    <t xml:space="preserve">404 ou texto diferente do AUT-03 (permite descobrir e-mails). Erro 500.</t>
  </si>
  <si>
    <t xml:space="preserve">Padronizar a resposta de erro do login.</t>
  </si>
  <si>
    <t xml:space="preserve">Alta</t>
  </si>
  <si>
    <t xml:space="preserve">AUT-05</t>
  </si>
  <si>
    <t xml:space="preserve">Rota protegida sem token retorna 401</t>
  </si>
  <si>
    <t xml:space="preserve">Nenhuma.</t>
  </si>
  <si>
    <t xml:space="preserve">Chamar rota protegida sem o cabeçalho Authorization.</t>
  </si>
  <si>
    <t xml:space="preserve">401.</t>
  </si>
  <si>
    <t xml:space="preserve">200, 403 ou 500.</t>
  </si>
  <si>
    <t xml:space="preserve">Verificar se a rota usa a dependência de autenticação.</t>
  </si>
  <si>
    <t xml:space="preserve">AUT-06</t>
  </si>
  <si>
    <t xml:space="preserve">Token adulterado é rejeitado</t>
  </si>
  <si>
    <t xml:space="preserve">Token válido obtido.</t>
  </si>
  <si>
    <t xml:space="preserve">Alterar um caractere do token (payload ou assinatura) e chamar rota protegida.</t>
  </si>
  <si>
    <t xml:space="preserve">Token adulterado aceito.</t>
  </si>
  <si>
    <t xml:space="preserve">Bug de segurança. Validar assinatura e algoritmo no decode do JWT.</t>
  </si>
  <si>
    <t xml:space="preserve">AUT-07</t>
  </si>
  <si>
    <t xml:space="preserve">Usuário desativado não consegue logar</t>
  </si>
  <si>
    <t xml:space="preserve">Usuário desativado.</t>
  </si>
  <si>
    <t xml:space="preserve">Tentar fazer login.</t>
  </si>
  <si>
    <t xml:space="preserve">401 ou 403, sem emitir token.</t>
  </si>
  <si>
    <t xml:space="preserve">Token emitido.</t>
  </si>
  <si>
    <t xml:space="preserve">Checar o filtro de usuário ativo no login. Testar também se o token antigo do usuário ainda funciona.</t>
  </si>
  <si>
    <t xml:space="preserve">AUT-08</t>
  </si>
  <si>
    <t xml:space="preserve">Login com campos ausentes retorna 422</t>
  </si>
  <si>
    <t xml:space="preserve">Enviar login sem e-mail ou sem senha.</t>
  </si>
  <si>
    <t xml:space="preserve">422 indicando o campo ausente.</t>
  </si>
  <si>
    <t xml:space="preserve">500 ou 200.</t>
  </si>
  <si>
    <t xml:space="preserve">Revisar o schema Pydantic do login.</t>
  </si>
  <si>
    <t xml:space="preserve">Média</t>
  </si>
  <si>
    <t xml:space="preserve">AUT-09</t>
  </si>
  <si>
    <t xml:space="preserve">Token expirado é rejeitado</t>
  </si>
  <si>
    <t xml:space="preserve">Token com expiração curta ou vencido.</t>
  </si>
  <si>
    <t xml:space="preserve">Aguardar expirar e chamar rota protegida.</t>
  </si>
  <si>
    <t xml:space="preserve">401 indicando token expirado.</t>
  </si>
  <si>
    <t xml:space="preserve">Token vencido aceito. Erro 500.</t>
  </si>
  <si>
    <t xml:space="preserve">Verificar o claim exp e o relógio do servidor.</t>
  </si>
  <si>
    <t xml:space="preserve">AUT-10</t>
  </si>
  <si>
    <t xml:space="preserve">Limite de tentativas de login</t>
  </si>
  <si>
    <t xml:space="preserve">Limite de tentativas configurado (ex.: 5).</t>
  </si>
  <si>
    <t xml:space="preserve">Errar a senha acima do limite e depois tentar a senha correta.</t>
  </si>
  <si>
    <t xml:space="preserve">429 ou bloqueio temporário, inclusive para a senha correta durante o período.</t>
  </si>
  <si>
    <t xml:space="preserve">Tentativas ilimitadas.</t>
  </si>
  <si>
    <t xml:space="preserve">Se o recurso não existir, registrar como pendência do sistema, não como falha. Status N/A.</t>
  </si>
  <si>
    <t xml:space="preserve">USR-01</t>
  </si>
  <si>
    <t xml:space="preserve">Criar usuário</t>
  </si>
  <si>
    <t xml:space="preserve">Administrador autenticado.</t>
  </si>
  <si>
    <t xml:space="preserve">Criar usuário com dados válidos.</t>
  </si>
  <si>
    <t xml:space="preserve">201 com id e perfil. Sem senha ou hash na resposta.</t>
  </si>
  <si>
    <t xml:space="preserve">Senha em texto na resposta. Erro 500.</t>
  </si>
  <si>
    <t xml:space="preserve">Conferir o schema de resposta e a gravação no banco.</t>
  </si>
  <si>
    <t xml:space="preserve">USR-02</t>
  </si>
  <si>
    <t xml:space="preserve">Listar usuários</t>
  </si>
  <si>
    <t xml:space="preserve">Administrador autenticado e usuários cadastrados.</t>
  </si>
  <si>
    <t xml:space="preserve">Listar usuários.</t>
  </si>
  <si>
    <t xml:space="preserve">200 com a lista, sem campo de senha.</t>
  </si>
  <si>
    <t xml:space="preserve">Hash na lista. 403 para administrador.</t>
  </si>
  <si>
    <t xml:space="preserve">Revisar o schema de saída.</t>
  </si>
  <si>
    <t xml:space="preserve">USR-03</t>
  </si>
  <si>
    <t xml:space="preserve">Atualizar usuário</t>
  </si>
  <si>
    <t xml:space="preserve">Usuário existente.</t>
  </si>
  <si>
    <t xml:space="preserve">Alterar nome ou perfil.</t>
  </si>
  <si>
    <t xml:space="preserve">200 com os novos valores gravados.</t>
  </si>
  <si>
    <t xml:space="preserve">Alterar outro usuário. Perder ou trocar a senha sem pedido.</t>
  </si>
  <si>
    <t xml:space="preserve">Comparar o registro no banco antes e depois.</t>
  </si>
  <si>
    <t xml:space="preserve">USR-04</t>
  </si>
  <si>
    <t xml:space="preserve">E-mail duplicado</t>
  </si>
  <si>
    <t xml:space="preserve">E-mail já cadastrado.</t>
  </si>
  <si>
    <t xml:space="preserve">Criar outro usuário com o mesmo e-mail.</t>
  </si>
  <si>
    <t xml:space="preserve">409 (ou 422) e nenhum registro novo.</t>
  </si>
  <si>
    <t xml:space="preserve">201. Erro 500 por violação de unique sem tratamento.</t>
  </si>
  <si>
    <t xml:space="preserve">Tratar IntegrityError e converter em 409.</t>
  </si>
  <si>
    <t xml:space="preserve">USR-05</t>
  </si>
  <si>
    <t xml:space="preserve">E-mail inválido</t>
  </si>
  <si>
    <t xml:space="preserve">Criar usuário com e-mail inválido (ex.: abc).</t>
  </si>
  <si>
    <t xml:space="preserve">422.</t>
  </si>
  <si>
    <t xml:space="preserve">201.</t>
  </si>
  <si>
    <t xml:space="preserve">Validar o campo com EmailStr.</t>
  </si>
  <si>
    <t xml:space="preserve">USR-06</t>
  </si>
  <si>
    <t xml:space="preserve">Senha fraca</t>
  </si>
  <si>
    <t xml:space="preserve">Criar usuário com senha curta (ex.: 123).</t>
  </si>
  <si>
    <t xml:space="preserve">422 pela política de senha.</t>
  </si>
  <si>
    <t xml:space="preserve">Se não houver política de senha, registrar como pendência do sistema.</t>
  </si>
  <si>
    <t xml:space="preserve">USR-07</t>
  </si>
  <si>
    <t xml:space="preserve">Senha salva com Argon2 e nunca retornada</t>
  </si>
  <si>
    <t xml:space="preserve">Usuário recém-criado.</t>
  </si>
  <si>
    <t xml:space="preserve">Consultar a coluna de senha no banco e a resposta da API.</t>
  </si>
  <si>
    <t xml:space="preserve">Banco guarda hash Argon2 (começa com $argon2). A API nunca devolve a senha.</t>
  </si>
  <si>
    <t xml:space="preserve">Senha em texto puro. Hash simples (MD5, SHA).</t>
  </si>
  <si>
    <t xml:space="preserve">Bug crítico: corrigir o hash e forçar troca de senhas já gravadas.</t>
  </si>
  <si>
    <t xml:space="preserve">USR-08</t>
  </si>
  <si>
    <t xml:space="preserve">Desativar usuário</t>
  </si>
  <si>
    <t xml:space="preserve">Usuário ativo.</t>
  </si>
  <si>
    <t xml:space="preserve">Desativar o usuário.</t>
  </si>
  <si>
    <t xml:space="preserve">200. Usuário não loga mais e o histórico dele é preservado.</t>
  </si>
  <si>
    <t xml:space="preserve">Apagar movimentações vinculadas. Usuário continua logando.</t>
  </si>
  <si>
    <t xml:space="preserve">Verificar se é desativação lógica e as chaves estrangeiras.</t>
  </si>
  <si>
    <t xml:space="preserve">USR-09</t>
  </si>
  <si>
    <t xml:space="preserve">Último administrador não pode ser removido</t>
  </si>
  <si>
    <t xml:space="preserve">Apenas um administrador ativo.</t>
  </si>
  <si>
    <t xml:space="preserve">Tentar desativar, remover ou rebaixar esse administrador.</t>
  </si>
  <si>
    <t xml:space="preserve">409 ou 422 bloqueando a ação.</t>
  </si>
  <si>
    <t xml:space="preserve">Sistema ficar sem nenhum administrador.</t>
  </si>
  <si>
    <t xml:space="preserve">Se a regra não existir, registrar como pendência do sistema.</t>
  </si>
  <si>
    <t xml:space="preserve">PER-01</t>
  </si>
  <si>
    <t xml:space="preserve">Administrador acessa rota administrativa</t>
  </si>
  <si>
    <t xml:space="preserve">Chamar uma rota administrativa (ex.: criar usuário).</t>
  </si>
  <si>
    <t xml:space="preserve">2xx.</t>
  </si>
  <si>
    <t xml:space="preserve">403.</t>
  </si>
  <si>
    <t xml:space="preserve">Verificar a checagem de perfil na rota.</t>
  </si>
  <si>
    <t xml:space="preserve">PER-02</t>
  </si>
  <si>
    <t xml:space="preserve">Operador acessa rotas operacionais</t>
  </si>
  <si>
    <t xml:space="preserve">Operador autenticado.</t>
  </si>
  <si>
    <t xml:space="preserve">Chamar rotas de produto, entrada e saída.</t>
  </si>
  <si>
    <t xml:space="preserve">403 indevido.</t>
  </si>
  <si>
    <t xml:space="preserve">Revisar a matriz de permissões por perfil.</t>
  </si>
  <si>
    <t xml:space="preserve">PER-03</t>
  </si>
  <si>
    <t xml:space="preserve">Operador recebe 403 em rota administrativa</t>
  </si>
  <si>
    <t xml:space="preserve">Chamar uma rota administrativa.</t>
  </si>
  <si>
    <t xml:space="preserve">2xx. 401 (confunde com falta de login).</t>
  </si>
  <si>
    <t xml:space="preserve">Bug crítico de autorização. Corrigir antes de qualquer liberação.</t>
  </si>
  <si>
    <t xml:space="preserve">PER-04</t>
  </si>
  <si>
    <t xml:space="preserve">Sem token recebe 401</t>
  </si>
  <si>
    <t xml:space="preserve">Chamar rota administrativa sem token.</t>
  </si>
  <si>
    <t xml:space="preserve">403 ou 2xx.</t>
  </si>
  <si>
    <t xml:space="preserve">Garantir a ordem: autenticação antes da checagem de permissão.</t>
  </si>
  <si>
    <t xml:space="preserve">PER-05</t>
  </si>
  <si>
    <t xml:space="preserve">Operador não eleva o próprio perfil</t>
  </si>
  <si>
    <t xml:space="preserve">Tentar mudar o próprio perfil para administrador.</t>
  </si>
  <si>
    <t xml:space="preserve">403 e perfil inalterado.</t>
  </si>
  <si>
    <t xml:space="preserve">2xx e perfil alterado.</t>
  </si>
  <si>
    <t xml:space="preserve">Bug crítico (escalada de privilégio).</t>
  </si>
  <si>
    <t xml:space="preserve">PER-06</t>
  </si>
  <si>
    <t xml:space="preserve">Troca de perfil vale no novo token</t>
  </si>
  <si>
    <t xml:space="preserve">Operador promovido a administrador.</t>
  </si>
  <si>
    <t xml:space="preserve">Fazer novo login e chamar rota administrativa.</t>
  </si>
  <si>
    <t xml:space="preserve">Acesso liberado com o token novo. Comportamento do token antigo documentado.</t>
  </si>
  <si>
    <t xml:space="preserve">Perfil do token divergente do banco sem regra definida.</t>
  </si>
  <si>
    <t xml:space="preserve">Definir e documentar se o perfil vem do token ou do banco.</t>
  </si>
  <si>
    <t xml:space="preserve">FOR-01</t>
  </si>
  <si>
    <t xml:space="preserve">Criar fornecedor</t>
  </si>
  <si>
    <t xml:space="preserve">Criar fornecedor com nome e CNPJ válidos.</t>
  </si>
  <si>
    <t xml:space="preserve">201 com id.</t>
  </si>
  <si>
    <t xml:space="preserve">Erro 500. Registro sem CNPJ.</t>
  </si>
  <si>
    <t xml:space="preserve">Conferir o schema e a tabela.</t>
  </si>
  <si>
    <t xml:space="preserve">FOR-02</t>
  </si>
  <si>
    <t xml:space="preserve">Listar fornecedores</t>
  </si>
  <si>
    <t xml:space="preserve">Fornecedores cadastrados.</t>
  </si>
  <si>
    <t xml:space="preserve">Listar fornecedores.</t>
  </si>
  <si>
    <t xml:space="preserve">200 com todos os fornecedores ativos.</t>
  </si>
  <si>
    <t xml:space="preserve">Lista vazia com dados existentes.</t>
  </si>
  <si>
    <t xml:space="preserve">Verificar filtros padrão da consulta.</t>
  </si>
  <si>
    <t xml:space="preserve">FOR-03</t>
  </si>
  <si>
    <t xml:space="preserve">Atualizar fornecedor</t>
  </si>
  <si>
    <t xml:space="preserve">Fornecedor existente.</t>
  </si>
  <si>
    <t xml:space="preserve">Atualizar o contato.</t>
  </si>
  <si>
    <t xml:space="preserve">200 com os valores novos.</t>
  </si>
  <si>
    <t xml:space="preserve">CNPJ alterado sem pedido.</t>
  </si>
  <si>
    <t xml:space="preserve">Comparar o registro no banco.</t>
  </si>
  <si>
    <t xml:space="preserve">FOR-04</t>
  </si>
  <si>
    <t xml:space="preserve">CNPJ duplicado</t>
  </si>
  <si>
    <t xml:space="preserve">CNPJ já cadastrado.</t>
  </si>
  <si>
    <t xml:space="preserve">Criar outro fornecedor com o mesmo CNPJ.</t>
  </si>
  <si>
    <t xml:space="preserve">409 e nenhum registro novo.</t>
  </si>
  <si>
    <t xml:space="preserve">201. Erro 500.</t>
  </si>
  <si>
    <t xml:space="preserve">Tratar violação de unique.</t>
  </si>
  <si>
    <t xml:space="preserve">FOR-05</t>
  </si>
  <si>
    <t xml:space="preserve">CNPJ inválido</t>
  </si>
  <si>
    <t xml:space="preserve">Criar fornecedor com CNPJ de dígitos inválidos.</t>
  </si>
  <si>
    <t xml:space="preserve">Se não houver validação, registrar como pendência do sistema.</t>
  </si>
  <si>
    <t xml:space="preserve">FOR-06</t>
  </si>
  <si>
    <t xml:space="preserve">Campos obrigatórios ausentes</t>
  </si>
  <si>
    <t xml:space="preserve">Criar fornecedor sem nome.</t>
  </si>
  <si>
    <t xml:space="preserve">422 apontando o campo.</t>
  </si>
  <si>
    <t xml:space="preserve">Erro 500. 201.</t>
  </si>
  <si>
    <t xml:space="preserve">Revisar o schema.</t>
  </si>
  <si>
    <t xml:space="preserve">FOR-07</t>
  </si>
  <si>
    <t xml:space="preserve">Excluir com produtos vinculados</t>
  </si>
  <si>
    <t xml:space="preserve">Fornecedor com produtos vinculados.</t>
  </si>
  <si>
    <t xml:space="preserve">Tentar excluir o fornecedor.</t>
  </si>
  <si>
    <t xml:space="preserve">409 bloqueando (ou inativação conforme a regra).</t>
  </si>
  <si>
    <t xml:space="preserve">Apagar e deixar produtos órfãos. Erro 500.</t>
  </si>
  <si>
    <t xml:space="preserve">Verificar a chave estrangeira e a regra de exclusão.</t>
  </si>
  <si>
    <t xml:space="preserve">FOR-08</t>
  </si>
  <si>
    <t xml:space="preserve">Desativar fornecedor</t>
  </si>
  <si>
    <t xml:space="preserve">Fornecedor ativo.</t>
  </si>
  <si>
    <t xml:space="preserve">Desativar o fornecedor.</t>
  </si>
  <si>
    <t xml:space="preserve">200. Some das listas ativas e os produtos continuam.</t>
  </si>
  <si>
    <t xml:space="preserve">Produtos apagados.</t>
  </si>
  <si>
    <t xml:space="preserve">Verificar se a desativação é lógica.</t>
  </si>
  <si>
    <t xml:space="preserve">PRO-01</t>
  </si>
  <si>
    <t xml:space="preserve">Criar produto</t>
  </si>
  <si>
    <t xml:space="preserve">Fornecedor cadastrado e operador autenticado.</t>
  </si>
  <si>
    <t xml:space="preserve">Criar produto com nome, código de barras e estoque mínimo.</t>
  </si>
  <si>
    <t xml:space="preserve">201 com saldo 0.</t>
  </si>
  <si>
    <t xml:space="preserve">Saldo inicial diferente de 0. Erro 500.</t>
  </si>
  <si>
    <t xml:space="preserve">Revisar os valores padrão do model.</t>
  </si>
  <si>
    <t xml:space="preserve">PRO-02</t>
  </si>
  <si>
    <t xml:space="preserve">Atualizar produto</t>
  </si>
  <si>
    <t xml:space="preserve">Produto existente.</t>
  </si>
  <si>
    <t xml:space="preserve">Alterar nome e estoque mínimo.</t>
  </si>
  <si>
    <t xml:space="preserve">200. Saldo e lotes intactos.</t>
  </si>
  <si>
    <t xml:space="preserve">Saldo zerado ou alterado.</t>
  </si>
  <si>
    <t xml:space="preserve">Comparar o banco antes e depois.</t>
  </si>
  <si>
    <t xml:space="preserve">PRO-03</t>
  </si>
  <si>
    <t xml:space="preserve">Listar produtos</t>
  </si>
  <si>
    <t xml:space="preserve">Vários produtos cadastrados.</t>
  </si>
  <si>
    <t xml:space="preserve">Listar produtos.</t>
  </si>
  <si>
    <t xml:space="preserve">200 com dados básicos e saldo.</t>
  </si>
  <si>
    <t xml:space="preserve">Produtos inativos misturados sem aviso.</t>
  </si>
  <si>
    <t xml:space="preserve">Revisar filtros e o schema de saída.</t>
  </si>
  <si>
    <t xml:space="preserve">PRO-04</t>
  </si>
  <si>
    <t xml:space="preserve">Buscar por código de barras</t>
  </si>
  <si>
    <t xml:space="preserve">Produto com código de barras.</t>
  </si>
  <si>
    <t xml:space="preserve">Buscar pelo código exato.</t>
  </si>
  <si>
    <t xml:space="preserve">200 com o produto correto.</t>
  </si>
  <si>
    <t xml:space="preserve">Outro produto. 404 com código existente.</t>
  </si>
  <si>
    <t xml:space="preserve">Verificar a consulta (igualdade exata) e o índice.</t>
  </si>
  <si>
    <t xml:space="preserve">PRO-05</t>
  </si>
  <si>
    <t xml:space="preserve">Buscar por id</t>
  </si>
  <si>
    <t xml:space="preserve">Buscar pelo id.</t>
  </si>
  <si>
    <t xml:space="preserve">200 com o produto.</t>
  </si>
  <si>
    <t xml:space="preserve">404 indevido.</t>
  </si>
  <si>
    <t xml:space="preserve">Conferir a rota e o tipo do parâmetro.</t>
  </si>
  <si>
    <t xml:space="preserve">PRO-06</t>
  </si>
  <si>
    <t xml:space="preserve">Código de barras duplicado</t>
  </si>
  <si>
    <t xml:space="preserve">Código de barras já usado.</t>
  </si>
  <si>
    <t xml:space="preserve">Criar outro produto com o mesmo código.</t>
  </si>
  <si>
    <t xml:space="preserve">201 duplicando. Erro 500.</t>
  </si>
  <si>
    <t xml:space="preserve">Garantir unique no banco e tratar o erro.</t>
  </si>
  <si>
    <t xml:space="preserve">PRO-07</t>
  </si>
  <si>
    <t xml:space="preserve">Criar produto sem nome ou sem código de barras.</t>
  </si>
  <si>
    <t xml:space="preserve">PRO-08</t>
  </si>
  <si>
    <t xml:space="preserve">Produto inexistente retorna 404</t>
  </si>
  <si>
    <t xml:space="preserve">Id inexistente.</t>
  </si>
  <si>
    <t xml:space="preserve">Consultar e atualizar produto com id inexistente.</t>
  </si>
  <si>
    <t xml:space="preserve">404.</t>
  </si>
  <si>
    <t xml:space="preserve">Erro 500. 200 com corpo vazio.</t>
  </si>
  <si>
    <t xml:space="preserve">Tratar o caso 'não encontrado' no service.</t>
  </si>
  <si>
    <t xml:space="preserve">PRO-09</t>
  </si>
  <si>
    <t xml:space="preserve">Fornecedor inexistente</t>
  </si>
  <si>
    <t xml:space="preserve">Fornecedor inexistente.</t>
  </si>
  <si>
    <t xml:space="preserve">Criar produto com fornecedor 999999.</t>
  </si>
  <si>
    <t xml:space="preserve">404 ou 422.</t>
  </si>
  <si>
    <t xml:space="preserve">Erro 500 de chave estrangeira.</t>
  </si>
  <si>
    <t xml:space="preserve">Validar a existência do fornecedor antes de gravar.</t>
  </si>
  <si>
    <t xml:space="preserve">PRO-10</t>
  </si>
  <si>
    <t xml:space="preserve">Estoque mínimo negativo</t>
  </si>
  <si>
    <t xml:space="preserve">Criar produto com estoque mínimo -1.</t>
  </si>
  <si>
    <t xml:space="preserve">Adicionar validação de valor mínimo 0.</t>
  </si>
  <si>
    <t xml:space="preserve">PRO-11</t>
  </si>
  <si>
    <t xml:space="preserve">Código de barras em formato inválido</t>
  </si>
  <si>
    <t xml:space="preserve">Criar produto com código de barras fora do formato (letras ou tamanho errado).</t>
  </si>
  <si>
    <t xml:space="preserve">Se não houver regra de formato, registrar como pendência do sistema.</t>
  </si>
  <si>
    <t xml:space="preserve">Baixa</t>
  </si>
  <si>
    <t xml:space="preserve">PRO-12</t>
  </si>
  <si>
    <t xml:space="preserve">Nome acima do limite</t>
  </si>
  <si>
    <t xml:space="preserve">Criar produto com nome acima do limite da coluna.</t>
  </si>
  <si>
    <t xml:space="preserve">Erro 500 de truncamento.</t>
  </si>
  <si>
    <t xml:space="preserve">Definir max_length no schema.</t>
  </si>
  <si>
    <t xml:space="preserve">PRO-13</t>
  </si>
  <si>
    <t xml:space="preserve">Inativar produto com saldo</t>
  </si>
  <si>
    <t xml:space="preserve">Produto com saldo maior que 0.</t>
  </si>
  <si>
    <t xml:space="preserve">Inativar o produto.</t>
  </si>
  <si>
    <t xml:space="preserve">Bloqueio 409, ou inativação com aviso, conforme a regra definida.</t>
  </si>
  <si>
    <t xml:space="preserve">Inativar sem aviso deixando saldo invisível.</t>
  </si>
  <si>
    <t xml:space="preserve">Definir a regra e documentar.</t>
  </si>
  <si>
    <t xml:space="preserve">LOT-01</t>
  </si>
  <si>
    <t xml:space="preserve">Criar lote</t>
  </si>
  <si>
    <t xml:space="preserve">Criar lote com número, validade futura e quantidade.</t>
  </si>
  <si>
    <t xml:space="preserve">201. O saldo do produto soma a quantidade do lote.</t>
  </si>
  <si>
    <t xml:space="preserve">Erro 500. Saldo do produto sem somar.</t>
  </si>
  <si>
    <t xml:space="preserve">Revisar a regra de cálculo do saldo.</t>
  </si>
  <si>
    <t xml:space="preserve">LOT-02</t>
  </si>
  <si>
    <t xml:space="preserve">Listar lotes de um produto</t>
  </si>
  <si>
    <t xml:space="preserve">Produto com lotes.</t>
  </si>
  <si>
    <t xml:space="preserve">Listar os lotes do produto.</t>
  </si>
  <si>
    <t xml:space="preserve">200 só com lotes desse produto, ordenados (ex.: por validade).</t>
  </si>
  <si>
    <t xml:space="preserve">Lotes de outros produtos.</t>
  </si>
  <si>
    <t xml:space="preserve">Verificar o filtro por produto.</t>
  </si>
  <si>
    <t xml:space="preserve">LOT-03</t>
  </si>
  <si>
    <t xml:space="preserve">Consultar saldo do lote</t>
  </si>
  <si>
    <t xml:space="preserve">Lote com entradas e saídas.</t>
  </si>
  <si>
    <t xml:space="preserve">Consultar o saldo do lote.</t>
  </si>
  <si>
    <t xml:space="preserve">Saldo = entradas − saídas ± ajustes.</t>
  </si>
  <si>
    <t xml:space="preserve">Saldo divergente do histórico.</t>
  </si>
  <si>
    <t xml:space="preserve">Recalcular manualmente pelo histórico e comparar.</t>
  </si>
  <si>
    <t xml:space="preserve">LOT-04</t>
  </si>
  <si>
    <t xml:space="preserve">Validade no passado</t>
  </si>
  <si>
    <t xml:space="preserve">Criar lote com validade de ontem.</t>
  </si>
  <si>
    <t xml:space="preserve">422 (ou aceite apenas se a regra permitir entrada histórica).</t>
  </si>
  <si>
    <t xml:space="preserve">Aceitar sem aviso.</t>
  </si>
  <si>
    <t xml:space="preserve">Definir a regra e ajustar a validação.</t>
  </si>
  <si>
    <t xml:space="preserve">LOT-05</t>
  </si>
  <si>
    <t xml:space="preserve">Quantidade zero ou negativa</t>
  </si>
  <si>
    <t xml:space="preserve">Criar lote com quantidade 0 e depois -5.</t>
  </si>
  <si>
    <t xml:space="preserve">422 nos dois casos.</t>
  </si>
  <si>
    <t xml:space="preserve">Validar quantidade maior que 0.</t>
  </si>
  <si>
    <t xml:space="preserve">LOT-06</t>
  </si>
  <si>
    <t xml:space="preserve">Produto inexistente</t>
  </si>
  <si>
    <t xml:space="preserve">Criar lote para produto inexistente.</t>
  </si>
  <si>
    <t xml:space="preserve">Erro 500.</t>
  </si>
  <si>
    <t xml:space="preserve">Validar o produto antes de gravar.</t>
  </si>
  <si>
    <t xml:space="preserve">LOT-07</t>
  </si>
  <si>
    <t xml:space="preserve">Lote duplicado no mesmo produto</t>
  </si>
  <si>
    <t xml:space="preserve">Lote L1 já existe no produto.</t>
  </si>
  <si>
    <t xml:space="preserve">Criar outro lote L1 no mesmo produto.</t>
  </si>
  <si>
    <t xml:space="preserve">409, ou soma ao lote existente se a regra documentar isso.</t>
  </si>
  <si>
    <t xml:space="preserve">Duplicar em silêncio.</t>
  </si>
  <si>
    <t xml:space="preserve">Definir a regra e criar unique (produto + número do lote).</t>
  </si>
  <si>
    <t xml:space="preserve">LOT-08</t>
  </si>
  <si>
    <t xml:space="preserve">Validade igual a hoje</t>
  </si>
  <si>
    <t xml:space="preserve">Criar lote com validade igual a hoje.</t>
  </si>
  <si>
    <t xml:space="preserve">Comportamento definido: aceito e tratado como vencendo hoje.</t>
  </si>
  <si>
    <t xml:space="preserve">Tratar como vencido e a vencer ao mesmo tempo.</t>
  </si>
  <si>
    <t xml:space="preserve">Documentar a regra de fronteira da validade.</t>
  </si>
  <si>
    <t xml:space="preserve">LOT-09</t>
  </si>
  <si>
    <t xml:space="preserve">Saldo do produto igual à soma dos lotes</t>
  </si>
  <si>
    <t xml:space="preserve">Produto com 3 lotes e movimentações.</t>
  </si>
  <si>
    <t xml:space="preserve">Somar os saldos dos lotes e comparar com o saldo do produto.</t>
  </si>
  <si>
    <t xml:space="preserve">Valores iguais.</t>
  </si>
  <si>
    <t xml:space="preserve">Qualquer diferença.</t>
  </si>
  <si>
    <t xml:space="preserve">Bug crítico de consistência. Parar os testes de movimentação até corrigir.</t>
  </si>
  <si>
    <t xml:space="preserve">ENT-01</t>
  </si>
  <si>
    <t xml:space="preserve">Entrada aumenta o saldo</t>
  </si>
  <si>
    <t xml:space="preserve">Produto com saldo 10.</t>
  </si>
  <si>
    <t xml:space="preserve">Registrar entrada de 5.</t>
  </si>
  <si>
    <t xml:space="preserve">201. Saldo 15 e registro no histórico.</t>
  </si>
  <si>
    <t xml:space="preserve">Saldo diferente de 15. Sem histórico.</t>
  </si>
  <si>
    <t xml:space="preserve">Verificar a transação (saldo + histórico juntos).</t>
  </si>
  <si>
    <t xml:space="preserve">ENT-02</t>
  </si>
  <si>
    <t xml:space="preserve">Entrada cria lote novo</t>
  </si>
  <si>
    <t xml:space="preserve">Produto sem lote.</t>
  </si>
  <si>
    <t xml:space="preserve">Registrar entrada com novo lote e validade.</t>
  </si>
  <si>
    <t xml:space="preserve">201 e lote criado com a quantidade.</t>
  </si>
  <si>
    <t xml:space="preserve">Entrada sem lote.</t>
  </si>
  <si>
    <t xml:space="preserve">Revisar a criação de lote na entrada.</t>
  </si>
  <si>
    <t xml:space="preserve">ENT-03</t>
  </si>
  <si>
    <t xml:space="preserve">Entrada em lote existente</t>
  </si>
  <si>
    <t xml:space="preserve">Lote existente.</t>
  </si>
  <si>
    <t xml:space="preserve">Registrar entrada no lote.</t>
  </si>
  <si>
    <t xml:space="preserve">Saldo do lote aumenta.</t>
  </si>
  <si>
    <t xml:space="preserve">Lote duplicado criado.</t>
  </si>
  <si>
    <t xml:space="preserve">Revisar a busca do lote pelo número.</t>
  </si>
  <si>
    <t xml:space="preserve">ENT-04</t>
  </si>
  <si>
    <t xml:space="preserve">Registrar entrada de 0 e de -3.</t>
  </si>
  <si>
    <t xml:space="preserve">422. Saldo e histórico inalterados.</t>
  </si>
  <si>
    <t xml:space="preserve">201. Saldo alterado.</t>
  </si>
  <si>
    <t xml:space="preserve">ENT-05</t>
  </si>
  <si>
    <t xml:space="preserve">Registrar entrada para produto inexistente.</t>
  </si>
  <si>
    <t xml:space="preserve">ENT-06</t>
  </si>
  <si>
    <t xml:space="preserve">Entrada sem lote ou validade quando exigidos</t>
  </si>
  <si>
    <t xml:space="preserve">Regra exige lote e validade.</t>
  </si>
  <si>
    <t xml:space="preserve">Registrar entrada sem lote ou validade.</t>
  </si>
  <si>
    <t xml:space="preserve">Entrada aceita sem lote.</t>
  </si>
  <si>
    <t xml:space="preserve">Tornar os campos obrigatórios no schema.</t>
  </si>
  <si>
    <t xml:space="preserve">ENT-07</t>
  </si>
  <si>
    <t xml:space="preserve">Histórico registra usuário e data</t>
  </si>
  <si>
    <t xml:space="preserve">Entrada realizada.</t>
  </si>
  <si>
    <t xml:space="preserve">Consultar o histórico.</t>
  </si>
  <si>
    <t xml:space="preserve">Registro com tipo entrada, quantidade, produto, lote, usuário e data/hora.</t>
  </si>
  <si>
    <t xml:space="preserve">Registro sem usuário ou sem data.</t>
  </si>
  <si>
    <t xml:space="preserve">Revisar o service de movimentação.</t>
  </si>
  <si>
    <t xml:space="preserve">ENT-08</t>
  </si>
  <si>
    <t xml:space="preserve">Quantidade acima do limite</t>
  </si>
  <si>
    <t xml:space="preserve">Registrar entrada com quantidade enorme (ex.: 10^12).</t>
  </si>
  <si>
    <t xml:space="preserve">422 ou limite definido.</t>
  </si>
  <si>
    <t xml:space="preserve">Erro 500 por estouro.</t>
  </si>
  <si>
    <t xml:space="preserve">Definir limite máximo no schema.</t>
  </si>
  <si>
    <t xml:space="preserve">SAI-01</t>
  </si>
  <si>
    <t xml:space="preserve">Saída reduz o saldo</t>
  </si>
  <si>
    <t xml:space="preserve">Saldo 10.</t>
  </si>
  <si>
    <t xml:space="preserve">Registrar saída de 4.</t>
  </si>
  <si>
    <t xml:space="preserve">201. Saldo 6 e registro no histórico.</t>
  </si>
  <si>
    <t xml:space="preserve">Saldo diferente de 6.</t>
  </si>
  <si>
    <t xml:space="preserve">Verificar a transação da saída.</t>
  </si>
  <si>
    <t xml:space="preserve">SAI-02</t>
  </si>
  <si>
    <t xml:space="preserve">Saída por código de barras</t>
  </si>
  <si>
    <t xml:space="preserve">Registrar saída identificando o produto pelo código.</t>
  </si>
  <si>
    <t xml:space="preserve">Igual ao SAI-01, no produto correto.</t>
  </si>
  <si>
    <t xml:space="preserve">Baixa em outro produto.</t>
  </si>
  <si>
    <t xml:space="preserve">Revisar a busca por código de barras.</t>
  </si>
  <si>
    <t xml:space="preserve">SAI-03</t>
  </si>
  <si>
    <t xml:space="preserve">Saldo insuficiente</t>
  </si>
  <si>
    <t xml:space="preserve">Saldo 3.</t>
  </si>
  <si>
    <t xml:space="preserve">Registrar saída de 5.</t>
  </si>
  <si>
    <t xml:space="preserve">409 ou 422 (saldo insuficiente). Saldo continua 3 e sem histórico.</t>
  </si>
  <si>
    <t xml:space="preserve">Saldo negativo. Saída parcial. Histórico gravado.</t>
  </si>
  <si>
    <t xml:space="preserve">Bug crítico: validar saldo antes de gravar, na mesma transação.</t>
  </si>
  <si>
    <t xml:space="preserve">SAI-04</t>
  </si>
  <si>
    <t xml:space="preserve">Registrar saída de produto inexistente.</t>
  </si>
  <si>
    <t xml:space="preserve">SAI-05</t>
  </si>
  <si>
    <t xml:space="preserve">Registrar saída de 0 e de -1.</t>
  </si>
  <si>
    <t xml:space="preserve">Saída negativa aumentando o saldo.</t>
  </si>
  <si>
    <t xml:space="preserve">SAI-06</t>
  </si>
  <si>
    <t xml:space="preserve">FEFO consome o lote que vence primeiro</t>
  </si>
  <si>
    <t xml:space="preserve">Lote A vence em 10 dias e lote B em 30 dias.</t>
  </si>
  <si>
    <t xml:space="preserve">Registrar saída de 1 unidade.</t>
  </si>
  <si>
    <t xml:space="preserve">Baixa no lote A.</t>
  </si>
  <si>
    <t xml:space="preserve">Baixa no lote B.</t>
  </si>
  <si>
    <t xml:space="preserve">Bug crítico no FEFO: revisar a ordenação por validade.</t>
  </si>
  <si>
    <t xml:space="preserve">SAI-07</t>
  </si>
  <si>
    <t xml:space="preserve">FEFO atravessa vários lotes</t>
  </si>
  <si>
    <t xml:space="preserve">Lote A com 2 e lote B com 5 (A vence antes).</t>
  </si>
  <si>
    <t xml:space="preserve">Lote A zera, lote B baixa 2. Histórico por lote.</t>
  </si>
  <si>
    <t xml:space="preserve">Tudo baixado no B. Saldo errado.</t>
  </si>
  <si>
    <t xml:space="preserve">Revisar o loop que consome lote por lote.</t>
  </si>
  <si>
    <t xml:space="preserve">SAI-08</t>
  </si>
  <si>
    <t xml:space="preserve">FEFO ignora lote vencido</t>
  </si>
  <si>
    <t xml:space="preserve">Lote vencido com saldo e lote válido.</t>
  </si>
  <si>
    <t xml:space="preserve">Registrar saída.</t>
  </si>
  <si>
    <t xml:space="preserve">Consome só o lote válido.</t>
  </si>
  <si>
    <t xml:space="preserve">Consumir o lote vencido.</t>
  </si>
  <si>
    <t xml:space="preserve">Bug crítico: filtrar lotes vencidos no FEFO.</t>
  </si>
  <si>
    <t xml:space="preserve">SAI-09</t>
  </si>
  <si>
    <t xml:space="preserve">Saída que zera o lote</t>
  </si>
  <si>
    <t xml:space="preserve">Lote com saldo 3.</t>
  </si>
  <si>
    <t xml:space="preserve">Registrar saída de 3.</t>
  </si>
  <si>
    <t xml:space="preserve">Lote fica com 0. Próxima saída usa o próximo lote.</t>
  </si>
  <si>
    <t xml:space="preserve">Lote negativo. Lote 'preso' sendo escolhido com saldo 0.</t>
  </si>
  <si>
    <t xml:space="preserve">Ignorar lotes com saldo 0 na seleção.</t>
  </si>
  <si>
    <t xml:space="preserve">SAI-10</t>
  </si>
  <si>
    <t xml:space="preserve">Só há lote vencido: saída bloqueada</t>
  </si>
  <si>
    <t xml:space="preserve">Produto só com lotes vencidos.</t>
  </si>
  <si>
    <t xml:space="preserve">Bloqueio com mensagem clara. Saldo inalterado.</t>
  </si>
  <si>
    <t xml:space="preserve">Consumir lote vencido.</t>
  </si>
  <si>
    <t xml:space="preserve">Revisar a regra e a mensagem de erro.</t>
  </si>
  <si>
    <t xml:space="preserve">SAI-11</t>
  </si>
  <si>
    <t xml:space="preserve">Saídas simultâneas</t>
  </si>
  <si>
    <t xml:space="preserve">Saldo 5.</t>
  </si>
  <si>
    <t xml:space="preserve">Disparar duas saídas de 5 ao mesmo tempo.</t>
  </si>
  <si>
    <t xml:space="preserve">Uma é aceita e a outra é rejeitada. Saldo final 0.</t>
  </si>
  <si>
    <t xml:space="preserve">Saldo -5. As duas aceitas.</t>
  </si>
  <si>
    <t xml:space="preserve">Usar lock de linha (SELECT FOR UPDATE) ou transação serializável.</t>
  </si>
  <si>
    <t xml:space="preserve">SAI-12</t>
  </si>
  <si>
    <t xml:space="preserve">Saldo nunca fica negativo</t>
  </si>
  <si>
    <t xml:space="preserve">Sequência de saídas e ajustes.</t>
  </si>
  <si>
    <t xml:space="preserve">Executar a sequência e consultar o saldo após cada passo.</t>
  </si>
  <si>
    <t xml:space="preserve">Saldo nunca menor que 0 (também protegido por constraint no banco).</t>
  </si>
  <si>
    <t xml:space="preserve">Qualquer saldo negativo.</t>
  </si>
  <si>
    <t xml:space="preserve">Adicionar CHECK no banco e corrigir a validação.</t>
  </si>
  <si>
    <t xml:space="preserve">SAI-13</t>
  </si>
  <si>
    <t xml:space="preserve">Desempate entre lotes com mesma validade</t>
  </si>
  <si>
    <t xml:space="preserve">Dois lotes com a mesma validade.</t>
  </si>
  <si>
    <t xml:space="preserve">Desempate previsível (ex.: lote mais antigo ou menor id).</t>
  </si>
  <si>
    <t xml:space="preserve">Ordem aleatória entre execuções.</t>
  </si>
  <si>
    <t xml:space="preserve">Definir o critério e implementar.</t>
  </si>
  <si>
    <t xml:space="preserve">AJU-01</t>
  </si>
  <si>
    <t xml:space="preserve">Ajuste positivo</t>
  </si>
  <si>
    <t xml:space="preserve">Ajuste de +3 com motivo.</t>
  </si>
  <si>
    <t xml:space="preserve">Saldo 13. Histórico tipo ajuste com motivo e usuário.</t>
  </si>
  <si>
    <t xml:space="preserve">Ajuste sem motivo gravado.</t>
  </si>
  <si>
    <t xml:space="preserve">Revisar o service de ajuste.</t>
  </si>
  <si>
    <t xml:space="preserve">AJU-02</t>
  </si>
  <si>
    <t xml:space="preserve">Ajuste negativo</t>
  </si>
  <si>
    <t xml:space="preserve">Ajuste de -2 com motivo.</t>
  </si>
  <si>
    <t xml:space="preserve">Saldo 8 e registro no histórico.</t>
  </si>
  <si>
    <t xml:space="preserve">Saldo diferente de 8.</t>
  </si>
  <si>
    <t xml:space="preserve">Revisar o cálculo do sinal.</t>
  </si>
  <si>
    <t xml:space="preserve">AJU-03</t>
  </si>
  <si>
    <t xml:space="preserve">Ajuste sem motivo</t>
  </si>
  <si>
    <t xml:space="preserve">Ajuste sem motivo.</t>
  </si>
  <si>
    <t xml:space="preserve">Tornar o motivo obrigatório.</t>
  </si>
  <si>
    <t xml:space="preserve">AJU-04</t>
  </si>
  <si>
    <t xml:space="preserve">Ajuste que deixa saldo negativo</t>
  </si>
  <si>
    <t xml:space="preserve">Saldo 2.</t>
  </si>
  <si>
    <t xml:space="preserve">Ajuste de -5.</t>
  </si>
  <si>
    <t xml:space="preserve">409 ou 422. Saldo continua 2.</t>
  </si>
  <si>
    <t xml:space="preserve">Saldo negativo.</t>
  </si>
  <si>
    <t xml:space="preserve">Validar saldo resultante antes de gravar.</t>
  </si>
  <si>
    <t xml:space="preserve">AJU-05</t>
  </si>
  <si>
    <t xml:space="preserve">Quantidade zero</t>
  </si>
  <si>
    <t xml:space="preserve">Ajuste de 0.</t>
  </si>
  <si>
    <t xml:space="preserve">422, ou sem efeito documentado e sem registro inútil.</t>
  </si>
  <si>
    <t xml:space="preserve">Registro de histórico sem efeito.</t>
  </si>
  <si>
    <t xml:space="preserve">Definir a regra.</t>
  </si>
  <si>
    <t xml:space="preserve">AJU-06</t>
  </si>
  <si>
    <t xml:space="preserve">Histórico registra o motivo</t>
  </si>
  <si>
    <t xml:space="preserve">Ajuste realizado.</t>
  </si>
  <si>
    <t xml:space="preserve">Motivo guardado e exibido.</t>
  </si>
  <si>
    <t xml:space="preserve">Motivo perdido.</t>
  </si>
  <si>
    <t xml:space="preserve">Revisar o schema do histórico.</t>
  </si>
  <si>
    <t xml:space="preserve">AJU-07</t>
  </si>
  <si>
    <t xml:space="preserve">Ajuste em lote vencido</t>
  </si>
  <si>
    <t xml:space="preserve">Lote vencido com saldo.</t>
  </si>
  <si>
    <t xml:space="preserve">Ajustar o saldo desse lote.</t>
  </si>
  <si>
    <t xml:space="preserve">Permitido com motivo (baixa por perda). Saldo do lote muda.</t>
  </si>
  <si>
    <t xml:space="preserve">Bloqueio sem explicação.</t>
  </si>
  <si>
    <t xml:space="preserve">Definir a regra para lotes vencidos.</t>
  </si>
  <si>
    <t xml:space="preserve">HIS-01</t>
  </si>
  <si>
    <t xml:space="preserve">Listar movimentações</t>
  </si>
  <si>
    <t xml:space="preserve">Várias movimentações registradas.</t>
  </si>
  <si>
    <t xml:space="preserve">Listar o histórico.</t>
  </si>
  <si>
    <t xml:space="preserve">200 com tipo, quantidade, produto, lote, usuário e data. Mais recentes primeiro.</t>
  </si>
  <si>
    <t xml:space="preserve">Movimentação faltando.</t>
  </si>
  <si>
    <t xml:space="preserve">Comparar com os registros no banco.</t>
  </si>
  <si>
    <t xml:space="preserve">HIS-02</t>
  </si>
  <si>
    <t xml:space="preserve">Filtrar por produto</t>
  </si>
  <si>
    <t xml:space="preserve">Movimentações de mais de um produto.</t>
  </si>
  <si>
    <t xml:space="preserve">Filtrar por produto.</t>
  </si>
  <si>
    <t xml:space="preserve">Somente movimentações do produto.</t>
  </si>
  <si>
    <t xml:space="preserve">Registros de outros produtos.</t>
  </si>
  <si>
    <t xml:space="preserve">Revisar o filtro da consulta.</t>
  </si>
  <si>
    <t xml:space="preserve">HIS-03</t>
  </si>
  <si>
    <t xml:space="preserve">Filtrar por período</t>
  </si>
  <si>
    <t xml:space="preserve">Movimentações em datas diferentes.</t>
  </si>
  <si>
    <t xml:space="preserve">Filtrar por data inicial e final.</t>
  </si>
  <si>
    <t xml:space="preserve">Registros dentro do intervalo, incluindo as datas limite.</t>
  </si>
  <si>
    <t xml:space="preserve">Registros fora do intervalo. Data final excluída sem querer.</t>
  </si>
  <si>
    <t xml:space="preserve">Revisar a comparação (&gt;= e &lt;=) e o fuso horário.</t>
  </si>
  <si>
    <t xml:space="preserve">HIS-04</t>
  </si>
  <si>
    <t xml:space="preserve">Filtrar por tipo</t>
  </si>
  <si>
    <t xml:space="preserve">Entradas, saídas e ajustes registrados.</t>
  </si>
  <si>
    <t xml:space="preserve">Filtrar por tipo.</t>
  </si>
  <si>
    <t xml:space="preserve">Somente o tipo pedido.</t>
  </si>
  <si>
    <t xml:space="preserve">Tipos misturados.</t>
  </si>
  <si>
    <t xml:space="preserve">Revisar o filtro.</t>
  </si>
  <si>
    <t xml:space="preserve">HIS-05</t>
  </si>
  <si>
    <t xml:space="preserve">Período inválido</t>
  </si>
  <si>
    <t xml:space="preserve">Filtrar com data inicial maior que a final e com data inválida.</t>
  </si>
  <si>
    <t xml:space="preserve">422 com mensagem clara.</t>
  </si>
  <si>
    <t xml:space="preserve">Erro 500. Lista vazia sem aviso.</t>
  </si>
  <si>
    <t xml:space="preserve">Validar o período no schema.</t>
  </si>
  <si>
    <t xml:space="preserve">HIS-06</t>
  </si>
  <si>
    <t xml:space="preserve">Filtro por produto inexistente</t>
  </si>
  <si>
    <t xml:space="preserve">Filtrar por produto inexistente.</t>
  </si>
  <si>
    <t xml:space="preserve">404, ou 200 com lista vazia, conforme a regra definida.</t>
  </si>
  <si>
    <t xml:space="preserve">Tratar o caso e documentar a regra.</t>
  </si>
  <si>
    <t xml:space="preserve">HIS-07</t>
  </si>
  <si>
    <t xml:space="preserve">Paginação</t>
  </si>
  <si>
    <t xml:space="preserve">Mais registros que o tamanho da página.</t>
  </si>
  <si>
    <t xml:space="preserve">Navegar pelas páginas.</t>
  </si>
  <si>
    <t xml:space="preserve">Total correto. Sem registros repetidos ou pulados entre páginas.</t>
  </si>
  <si>
    <t xml:space="preserve">Registros duplicados entre páginas.</t>
  </si>
  <si>
    <t xml:space="preserve">Garantir ordenação estável com desempate por id.</t>
  </si>
  <si>
    <t xml:space="preserve">HIS-08</t>
  </si>
  <si>
    <t xml:space="preserve">Ordenação</t>
  </si>
  <si>
    <t xml:space="preserve">Várias movimentações.</t>
  </si>
  <si>
    <t xml:space="preserve">Ordenar por data crescente e decrescente.</t>
  </si>
  <si>
    <t xml:space="preserve">Ordem respeitada.</t>
  </si>
  <si>
    <t xml:space="preserve">Ordem ignorada.</t>
  </si>
  <si>
    <t xml:space="preserve">Revisar o parâmetro de ordenação.</t>
  </si>
  <si>
    <t xml:space="preserve">HIS-09</t>
  </si>
  <si>
    <t xml:space="preserve">Lista vazia</t>
  </si>
  <si>
    <t xml:space="preserve">Produto sem movimentações.</t>
  </si>
  <si>
    <t xml:space="preserve">Consultar o histórico dele.</t>
  </si>
  <si>
    <t xml:space="preserve">200 com lista vazia.</t>
  </si>
  <si>
    <t xml:space="preserve">404 ou 500.</t>
  </si>
  <si>
    <t xml:space="preserve">Tratar lista vazia.</t>
  </si>
  <si>
    <t xml:space="preserve">HIS-10</t>
  </si>
  <si>
    <t xml:space="preserve">Histórico não pode ser editado nem excluído</t>
  </si>
  <si>
    <t xml:space="preserve">Movimentação existente.</t>
  </si>
  <si>
    <t xml:space="preserve">Tentar alterar e excluir a movimentação (PUT e DELETE).</t>
  </si>
  <si>
    <t xml:space="preserve">404 ou 405. Nenhum registro muda.</t>
  </si>
  <si>
    <t xml:space="preserve">Registro alterado ou apagado.</t>
  </si>
  <si>
    <t xml:space="preserve">Bug crítico de auditoria: remover a rota e proteger a tabela.</t>
  </si>
  <si>
    <t xml:space="preserve">ALE-01</t>
  </si>
  <si>
    <t xml:space="preserve">Alerta quando estoque é menor ou igual ao mínimo</t>
  </si>
  <si>
    <t xml:space="preserve">Estoque mínimo 5 e saldo caindo para 5.</t>
  </si>
  <si>
    <t xml:space="preserve">Consultar alertas.</t>
  </si>
  <si>
    <t xml:space="preserve">Alerta de estoque baixo para o produto.</t>
  </si>
  <si>
    <t xml:space="preserve">Sem alerta.</t>
  </si>
  <si>
    <t xml:space="preserve">Revisar a comparação (saldo &lt;= mínimo).</t>
  </si>
  <si>
    <t xml:space="preserve">ALE-02</t>
  </si>
  <si>
    <t xml:space="preserve">Alerta de lote perto do vencimento</t>
  </si>
  <si>
    <t xml:space="preserve">Lote vencendo dentro da janela configurada.</t>
  </si>
  <si>
    <t xml:space="preserve">Alerta com produto, lote e dias restantes.</t>
  </si>
  <si>
    <t xml:space="preserve">Revisar o cálculo da janela de vencimento.</t>
  </si>
  <si>
    <t xml:space="preserve">ALE-03</t>
  </si>
  <si>
    <t xml:space="preserve">Consultar alertas</t>
  </si>
  <si>
    <t xml:space="preserve">Alertas existentes.</t>
  </si>
  <si>
    <t xml:space="preserve">200 com tipo, produto, lote e detalhes.</t>
  </si>
  <si>
    <t xml:space="preserve">Erro 500. Campos faltando.</t>
  </si>
  <si>
    <t xml:space="preserve">Revisar o schema de alertas.</t>
  </si>
  <si>
    <t xml:space="preserve">ALE-04</t>
  </si>
  <si>
    <t xml:space="preserve">Estoque acima do mínimo não alerta</t>
  </si>
  <si>
    <t xml:space="preserve">Saldo acima do mínimo.</t>
  </si>
  <si>
    <t xml:space="preserve">Nenhum alerta de estoque baixo para o produto.</t>
  </si>
  <si>
    <t xml:space="preserve">Alerta falso.</t>
  </si>
  <si>
    <t xml:space="preserve">Revisar a regra de comparação.</t>
  </si>
  <si>
    <t xml:space="preserve">ALE-05</t>
  </si>
  <si>
    <t xml:space="preserve">Lote fora da janela não alerta</t>
  </si>
  <si>
    <t xml:space="preserve">Lote vencendo depois da janela.</t>
  </si>
  <si>
    <t xml:space="preserve">Nenhum alerta de vencimento para o lote.</t>
  </si>
  <si>
    <t xml:space="preserve">Revisar a janela de dias.</t>
  </si>
  <si>
    <t xml:space="preserve">ALE-06</t>
  </si>
  <si>
    <t xml:space="preserve">Limite exato do estoque mínimo</t>
  </si>
  <si>
    <t xml:space="preserve">Produto com saldo igual ao mínimo e outro com mínimo + 1.</t>
  </si>
  <si>
    <t xml:space="preserve">Alerta no igual. Sem alerta no mínimo + 1.</t>
  </si>
  <si>
    <t xml:space="preserve">Fronteira trocada.</t>
  </si>
  <si>
    <t xml:space="preserve">Corrigir o operador de comparação.</t>
  </si>
  <si>
    <t xml:space="preserve">ALE-07</t>
  </si>
  <si>
    <t xml:space="preserve">Lote que vence hoje</t>
  </si>
  <si>
    <t xml:space="preserve">Lote com validade hoje.</t>
  </si>
  <si>
    <t xml:space="preserve">Alerta de vencimento indicando 0 dia.</t>
  </si>
  <si>
    <t xml:space="preserve">Lote não aparece.</t>
  </si>
  <si>
    <t xml:space="preserve">Revisar a fronteira da data.</t>
  </si>
  <si>
    <t xml:space="preserve">ALE-08</t>
  </si>
  <si>
    <t xml:space="preserve">Lote já vencido</t>
  </si>
  <si>
    <t xml:space="preserve">Lote já vencido com saldo.</t>
  </si>
  <si>
    <t xml:space="preserve">Alerta de lote vencido, distinto de 'a vencer'.</t>
  </si>
  <si>
    <t xml:space="preserve">Lote vencido ausente do alerta.</t>
  </si>
  <si>
    <t xml:space="preserve">Incluir lotes vencidos na consulta.</t>
  </si>
  <si>
    <t xml:space="preserve">ALE-09</t>
  </si>
  <si>
    <t xml:space="preserve">Alerta some após reposição</t>
  </si>
  <si>
    <t xml:space="preserve">Produto em alerta de estoque baixo.</t>
  </si>
  <si>
    <t xml:space="preserve">Registrar entrada que leve o saldo acima do mínimo e consultar alertas.</t>
  </si>
  <si>
    <t xml:space="preserve">O alerta desaparece.</t>
  </si>
  <si>
    <t xml:space="preserve">Alerta continua.</t>
  </si>
  <si>
    <t xml:space="preserve">Verificar se o alerta é calculado na consulta ou guardado.</t>
  </si>
  <si>
    <t xml:space="preserve">ALE-10</t>
  </si>
  <si>
    <t xml:space="preserve">Produto sem mínimo definido</t>
  </si>
  <si>
    <t xml:space="preserve">Produto sem estoque mínimo definido.</t>
  </si>
  <si>
    <t xml:space="preserve">Sem alerta de estoque baixo e sem erro.</t>
  </si>
  <si>
    <t xml:space="preserve">Tratar mínimo nulo ou zero.</t>
  </si>
  <si>
    <t xml:space="preserve">SEG-01</t>
  </si>
  <si>
    <t xml:space="preserve">Transversal</t>
  </si>
  <si>
    <t xml:space="preserve">Resposta nunca expõe o hash da senha</t>
  </si>
  <si>
    <t xml:space="preserve">Usuário cadastrado.</t>
  </si>
  <si>
    <t xml:space="preserve">Chamar qualquer rota que retorna usuário e inspecionar o JSON.</t>
  </si>
  <si>
    <t xml:space="preserve">Nenhum campo de senha ou hash.</t>
  </si>
  <si>
    <t xml:space="preserve">Campo password, hashed_password ou similar.</t>
  </si>
  <si>
    <t xml:space="preserve">Bug crítico: remover o campo do schema de saída.</t>
  </si>
  <si>
    <t xml:space="preserve">SEG-02</t>
  </si>
  <si>
    <t xml:space="preserve">SQL injection no corpo da requisição</t>
  </si>
  <si>
    <t xml:space="preserve">Enviar ' OR '1'='1 e '; DROP TABLE produtos;-- em nome, e-mail e código de barras.</t>
  </si>
  <si>
    <t xml:space="preserve">Texto tratado como dado (salvo ou 422). Tabelas intactas.</t>
  </si>
  <si>
    <t xml:space="preserve">Erro SQL. Dados de outros registros vazados.</t>
  </si>
  <si>
    <t xml:space="preserve">Bug crítico: usar consultas parametrizadas (SQLAlchemy), nunca texto concatenado.</t>
  </si>
  <si>
    <t xml:space="preserve">SEG-03</t>
  </si>
  <si>
    <t xml:space="preserve">SQL injection nos parâmetros de consulta</t>
  </si>
  <si>
    <t xml:space="preserve">Enviar os mesmos textos nos filtros da URL.</t>
  </si>
  <si>
    <t xml:space="preserve">Sem efeito e sem erro SQL.</t>
  </si>
  <si>
    <t xml:space="preserve">Erro SQL. Resultado ampliado.</t>
  </si>
  <si>
    <t xml:space="preserve">Mesma correção do SEG-02.</t>
  </si>
  <si>
    <t xml:space="preserve">SEG-04</t>
  </si>
  <si>
    <t xml:space="preserve">JWT com algoritmo "none" rejeitado</t>
  </si>
  <si>
    <t xml:space="preserve">Montar um JWT com algoritmo none e chamar rota protegida.</t>
  </si>
  <si>
    <t xml:space="preserve">Token aceito.</t>
  </si>
  <si>
    <t xml:space="preserve">Bug crítico: fixar o algoritmo permitido no decode.</t>
  </si>
  <si>
    <t xml:space="preserve">SEG-05</t>
  </si>
  <si>
    <t xml:space="preserve">JWT com assinatura inválida</t>
  </si>
  <si>
    <t xml:space="preserve">Enviar JWT assinado com outra chave.</t>
  </si>
  <si>
    <t xml:space="preserve">Bug crítico de validação de assinatura.</t>
  </si>
  <si>
    <t xml:space="preserve">SEG-06</t>
  </si>
  <si>
    <t xml:space="preserve">Segredo do JWT vem de variável de ambiente</t>
  </si>
  <si>
    <t xml:space="preserve">Acesso ao código e às configurações.</t>
  </si>
  <si>
    <t xml:space="preserve">Verificar de onde vem o segredo do JWT e a URL do banco.</t>
  </si>
  <si>
    <t xml:space="preserve">Valores vêm de variável de ambiente. Nada fixo no repositório.</t>
  </si>
  <si>
    <t xml:space="preserve">Segredo padrão no código ou no Git.</t>
  </si>
  <si>
    <t xml:space="preserve">Trocar o segredo, invalidar tokens e remover do histórico do Git.</t>
  </si>
  <si>
    <t xml:space="preserve">VAL-01</t>
  </si>
  <si>
    <t xml:space="preserve">Payload mínimo válido</t>
  </si>
  <si>
    <t xml:space="preserve">Enviar só os campos obrigatórios (ex.: criar produto).</t>
  </si>
  <si>
    <t xml:space="preserve">422 por campo opcional.</t>
  </si>
  <si>
    <t xml:space="preserve">Revisar quais campos são realmente obrigatórios.</t>
  </si>
  <si>
    <t xml:space="preserve">VAL-02</t>
  </si>
  <si>
    <t xml:space="preserve">Tipo de dado errado</t>
  </si>
  <si>
    <t xml:space="preserve">Enviar texto onde é número e número onde é texto.</t>
  </si>
  <si>
    <t xml:space="preserve">422 indicando o campo.</t>
  </si>
  <si>
    <t xml:space="preserve">Revisar os tipos no schema.</t>
  </si>
  <si>
    <t xml:space="preserve">VAL-03</t>
  </si>
  <si>
    <t xml:space="preserve">Campo nulo</t>
  </si>
  <si>
    <t xml:space="preserve">Enviar campo obrigatório como null.</t>
  </si>
  <si>
    <t xml:space="preserve">VAL-04</t>
  </si>
  <si>
    <t xml:space="preserve">JSON malformado</t>
  </si>
  <si>
    <t xml:space="preserve">Enviar corpo com JSON quebrado.</t>
  </si>
  <si>
    <t xml:space="preserve">400 ou 422.</t>
  </si>
  <si>
    <t xml:space="preserve">Verificar o tratamento global de erros.</t>
  </si>
  <si>
    <t xml:space="preserve">VAL-05</t>
  </si>
  <si>
    <t xml:space="preserve">Campo extra</t>
  </si>
  <si>
    <t xml:space="preserve">Enviar campo não previsto (ex.: role ou id) ao criar.</t>
  </si>
  <si>
    <t xml:space="preserve">Ignorado ou 422. Nunca gravado.</t>
  </si>
  <si>
    <t xml:space="preserve">Campo extra gravado (mass assignment).</t>
  </si>
  <si>
    <t xml:space="preserve">Bug de segurança: limitar o schema aos campos permitidos.</t>
  </si>
  <si>
    <t xml:space="preserve">VAL-06</t>
  </si>
  <si>
    <t xml:space="preserve">Acentos e unicode</t>
  </si>
  <si>
    <t xml:space="preserve">Enviar nomes com ç, ã e emoji.</t>
  </si>
  <si>
    <t xml:space="preserve">Salvo e devolvido idêntico.</t>
  </si>
  <si>
    <t xml:space="preserve">Caracteres corrompidos. Erro 500.</t>
  </si>
  <si>
    <t xml:space="preserve">Verificar a codificação UTF-8 do banco.</t>
  </si>
  <si>
    <t xml:space="preserve">VAL-07</t>
  </si>
  <si>
    <t xml:space="preserve">Texto no limite máximo</t>
  </si>
  <si>
    <t xml:space="preserve">Enviar texto com exatamente o limite e com limite + 1 caracteres.</t>
  </si>
  <si>
    <t xml:space="preserve">Aceita no limite e 422 acima.</t>
  </si>
  <si>
    <t xml:space="preserve">Definir max_length igual à coluna.</t>
  </si>
  <si>
    <t xml:space="preserve">VAL-08</t>
  </si>
  <si>
    <t xml:space="preserve">Número no limite máximo</t>
  </si>
  <si>
    <t xml:space="preserve">Enviar número no máximo permitido e acima do máximo do banco.</t>
  </si>
  <si>
    <t xml:space="preserve">Aceita no máximo e 422 acima.</t>
  </si>
  <si>
    <t xml:space="preserve">Definir limites no schema.</t>
  </si>
  <si>
    <t xml:space="preserve">VAL-09</t>
  </si>
  <si>
    <t xml:space="preserve">Espaços nas pontas</t>
  </si>
  <si>
    <t xml:space="preserve">Enviar nome com espaços no início e no fim.</t>
  </si>
  <si>
    <t xml:space="preserve">Normalizado (trim) ou aceito conforme a regra. Duplicidade detectada ignorando espaços.</t>
  </si>
  <si>
    <t xml:space="preserve">'Leite' e ' Leite ' tratados como diferentes sem regra.</t>
  </si>
  <si>
    <t xml:space="preserve">Aplicar strip no schema.</t>
  </si>
  <si>
    <t xml:space="preserve">BD-01</t>
  </si>
  <si>
    <t xml:space="preserve">Migration sobe do zero</t>
  </si>
  <si>
    <t xml:space="preserve">Banco PostgreSQL vazio.</t>
  </si>
  <si>
    <t xml:space="preserve">Rodar alembic upgrade head.</t>
  </si>
  <si>
    <t xml:space="preserve">Todas as tabelas e constraints criadas sem erro.</t>
  </si>
  <si>
    <t xml:space="preserve">Erro de migration. Tabela faltando.</t>
  </si>
  <si>
    <t xml:space="preserve">Corrigir a migration e testar de novo em banco limpo.</t>
  </si>
  <si>
    <t xml:space="preserve">BD-02</t>
  </si>
  <si>
    <t xml:space="preserve">Downgrade e upgrade novamente</t>
  </si>
  <si>
    <t xml:space="preserve">Banco migrado.</t>
  </si>
  <si>
    <t xml:space="preserve">Rodar alembic downgrade base e depois upgrade head.</t>
  </si>
  <si>
    <t xml:space="preserve">Sem erro e sem tabelas órfãs.</t>
  </si>
  <si>
    <t xml:space="preserve">Erro no downgrade. Tabela que sobra.</t>
  </si>
  <si>
    <t xml:space="preserve">Completar a função downgrade da migration.</t>
  </si>
  <si>
    <t xml:space="preserve">BD-03</t>
  </si>
  <si>
    <t xml:space="preserve">Banco indisponível com erro tratado</t>
  </si>
  <si>
    <t xml:space="preserve">API no ar.</t>
  </si>
  <si>
    <t xml:space="preserve">Parar o PostgreSQL e chamar a API. Depois religar.</t>
  </si>
  <si>
    <t xml:space="preserve">503 ou 500 com mensagem genérica, sem stack e sem dados do banco. Volta a funcionar sem reiniciar a API.</t>
  </si>
  <si>
    <t xml:space="preserve">Senha ou URL do banco na resposta. API que não se recupera.</t>
  </si>
  <si>
    <t xml:space="preserve">Tratar erro de conexão e configurar pool com pré-verificação.</t>
  </si>
  <si>
    <t xml:space="preserve">BD-04</t>
  </si>
  <si>
    <t xml:space="preserve">Violação de chave estrangeira tratada</t>
  </si>
  <si>
    <t xml:space="preserve">Provocar violação de chave estrangeira pela API.</t>
  </si>
  <si>
    <t xml:space="preserve">409 ou 422.</t>
  </si>
  <si>
    <t xml:space="preserve">Erro 500 com SQL na resposta.</t>
  </si>
  <si>
    <t xml:space="preserve">Tratar IntegrityError.</t>
  </si>
  <si>
    <t xml:space="preserve">BD-05</t>
  </si>
  <si>
    <t xml:space="preserve">Constraint unique no banco</t>
  </si>
  <si>
    <t xml:space="preserve">Inserir duplicado direto no banco por SQL (ex.: código de barras).</t>
  </si>
  <si>
    <t xml:space="preserve">O banco rejeita (constraint unique).</t>
  </si>
  <si>
    <t xml:space="preserve">Duplicado aceito.</t>
  </si>
  <si>
    <t xml:space="preserve">Criar a constraint via migration.</t>
  </si>
  <si>
    <t xml:space="preserve">BD-06</t>
  </si>
  <si>
    <t xml:space="preserve">Rollback em caso de falha</t>
  </si>
  <si>
    <t xml:space="preserve">Saída que consome vários lotes.</t>
  </si>
  <si>
    <t xml:space="preserve">Forçar um erro no meio da operação.</t>
  </si>
  <si>
    <t xml:space="preserve">Rollback total. Nenhum lote alterado, nenhum histórico gravado.</t>
  </si>
  <si>
    <t xml:space="preserve">Operação pela metade.</t>
  </si>
  <si>
    <t xml:space="preserve">Garantir uma única transação por operação.</t>
  </si>
  <si>
    <t xml:space="preserve">BD-07</t>
  </si>
  <si>
    <t xml:space="preserve">Saldo consistente após falha</t>
  </si>
  <si>
    <t xml:space="preserve">Após o BD-06.</t>
  </si>
  <si>
    <t xml:space="preserve">Comparar saldos e histórico.</t>
  </si>
  <si>
    <t xml:space="preserve">Saldo de produto, saldo dos lotes e histórico consistentes.</t>
  </si>
  <si>
    <t xml:space="preserve">Qualquer divergência.</t>
  </si>
  <si>
    <t xml:space="preserve">Bug crítico: tratar como bloqueio de liberação.</t>
  </si>
  <si>
    <t xml:space="preserve">INT-01</t>
  </si>
  <si>
    <t xml:space="preserve">Login, produto, lote, entrada, saída FEFO e histórico</t>
  </si>
  <si>
    <t xml:space="preserve">Banco limpo.</t>
  </si>
  <si>
    <t xml:space="preserve">Fazer login, criar produto, criar lote, registrar entrada, saída FEFO e consultar histórico.</t>
  </si>
  <si>
    <t xml:space="preserve">Cada etapa 2xx e saldos corretos em todas as consultas.</t>
  </si>
  <si>
    <t xml:space="preserve">Etapa falhando. Saldo divergente.</t>
  </si>
  <si>
    <t xml:space="preserve">Identificar a primeira etapa que falha e abrir bug no módulo dela.</t>
  </si>
  <si>
    <t xml:space="preserve">INT-02</t>
  </si>
  <si>
    <t xml:space="preserve">Fluxo do alerta de estoque baixo</t>
  </si>
  <si>
    <t xml:space="preserve">Produto com mínimo 5 e saldo 8.</t>
  </si>
  <si>
    <t xml:space="preserve">Registrar saída de 3 e consultar alertas.</t>
  </si>
  <si>
    <t xml:space="preserve">Alerta de estoque baixo aparece.</t>
  </si>
  <si>
    <t xml:space="preserve">Alerta ausente.</t>
  </si>
  <si>
    <t xml:space="preserve">Ver ALE-01 e ALE-06.</t>
  </si>
  <si>
    <t xml:space="preserve">INT-03</t>
  </si>
  <si>
    <t xml:space="preserve">Fluxo do alerta de vencimento</t>
  </si>
  <si>
    <t xml:space="preserve">Lote perto da validade.</t>
  </si>
  <si>
    <t xml:space="preserve">Alerta de vencimento correto.</t>
  </si>
  <si>
    <t xml:space="preserve">Ver ALE-02 e ALE-07.</t>
  </si>
  <si>
    <t xml:space="preserve">INT-04</t>
  </si>
  <si>
    <t xml:space="preserve">Fluxo de ajuste e histórico</t>
  </si>
  <si>
    <t xml:space="preserve">Produto com saldo.</t>
  </si>
  <si>
    <t xml:space="preserve">Fazer ajuste e consultar histórico e saldo.</t>
  </si>
  <si>
    <t xml:space="preserve">Ajuste no histórico com motivo e saldo coerente.</t>
  </si>
  <si>
    <t xml:space="preserve">Saldo diferente do histórico.</t>
  </si>
  <si>
    <t xml:space="preserve">Ver AJU-01 e AJU-06.</t>
  </si>
  <si>
    <t xml:space="preserve">INT-05</t>
  </si>
  <si>
    <t xml:space="preserve">Administrador e operador no mesmo fluxo</t>
  </si>
  <si>
    <t xml:space="preserve">Criar operador, entrar como operador, movimentar estoque e consultar como administrador.</t>
  </si>
  <si>
    <t xml:space="preserve">Cada perfil só faz o que pode. Histórico mostra o operador.</t>
  </si>
  <si>
    <t xml:space="preserve">Operador acessando rota administrativa.</t>
  </si>
  <si>
    <t xml:space="preserve">Ver PER-03.</t>
  </si>
  <si>
    <t xml:space="preserve">INT-06</t>
  </si>
  <si>
    <t xml:space="preserve">Fluxo interrompido por saldo insuficiente</t>
  </si>
  <si>
    <t xml:space="preserve">Produto com saldo baixo.</t>
  </si>
  <si>
    <t xml:space="preserve">Tentar saída maior que o saldo no meio do fluxo e depois seguir.</t>
  </si>
  <si>
    <t xml:space="preserve">Erro claro, nada gravado, fluxo continua normalmente depois.</t>
  </si>
  <si>
    <t xml:space="preserve">Estado inconsistente após o erro.</t>
  </si>
  <si>
    <t xml:space="preserve">Ver SAI-03 e BD-06.</t>
  </si>
  <si>
    <t xml:space="preserve">INT-07</t>
  </si>
  <si>
    <t xml:space="preserve">Reposição apaga o alerta</t>
  </si>
  <si>
    <t xml:space="preserve">Produto em alerta.</t>
  </si>
  <si>
    <t xml:space="preserve">Registrar entrada e consultar alertas.</t>
  </si>
  <si>
    <t xml:space="preserve">Alerta some.</t>
  </si>
  <si>
    <t xml:space="preserve">Alerta persiste.</t>
  </si>
  <si>
    <t xml:space="preserve">Ver ALE-09.</t>
  </si>
  <si>
    <t xml:space="preserve">API-01</t>
  </si>
  <si>
    <t xml:space="preserve">Documentação Swagger disponível</t>
  </si>
  <si>
    <t xml:space="preserve">Abrir a documentação interativa (/docs).</t>
  </si>
  <si>
    <t xml:space="preserve">Swagger lista todos os endpoints com schemas.</t>
  </si>
  <si>
    <t xml:space="preserve">Endpoint faltando. Página com erro.</t>
  </si>
  <si>
    <t xml:space="preserve">Revisar o registro das rotas e dos schemas.</t>
  </si>
  <si>
    <t xml:space="preserve">API-02</t>
  </si>
  <si>
    <t xml:space="preserve">Códigos 200, 201 e 204 corretos</t>
  </si>
  <si>
    <t xml:space="preserve">Chamar criação, leitura e remoção.</t>
  </si>
  <si>
    <t xml:space="preserve">Criação 201, leitura 200, remoção 204 (se houver).</t>
  </si>
  <si>
    <t xml:space="preserve">Todos retornando 200.</t>
  </si>
  <si>
    <t xml:space="preserve">Padronizar os códigos nas rotas.</t>
  </si>
  <si>
    <t xml:space="preserve">API-03</t>
  </si>
  <si>
    <t xml:space="preserve">Rota inexistente retorna 404</t>
  </si>
  <si>
    <t xml:space="preserve">Chamar uma rota inexistente.</t>
  </si>
  <si>
    <t xml:space="preserve">404 em JSON.</t>
  </si>
  <si>
    <t xml:space="preserve">Erro 500. HTML.</t>
  </si>
  <si>
    <t xml:space="preserve">API-04</t>
  </si>
  <si>
    <t xml:space="preserve">Método não permitido retorna 405</t>
  </si>
  <si>
    <t xml:space="preserve">Chamar uma rota com método errado (ex.: DELETE em rota de listagem).</t>
  </si>
  <si>
    <t xml:space="preserve">405.</t>
  </si>
  <si>
    <t xml:space="preserve">Erro 500 ou 200.</t>
  </si>
  <si>
    <t xml:space="preserve">Revisar os métodos das rotas.</t>
  </si>
  <si>
    <t xml:space="preserve">API-05</t>
  </si>
  <si>
    <t xml:space="preserve">Formato padrão de erro</t>
  </si>
  <si>
    <t xml:space="preserve">Provocar erros de validação, não encontrado e conflito.</t>
  </si>
  <si>
    <t xml:space="preserve">Todos no mesmo formato JSON (detail ou código e mensagem), sem stack trace.</t>
  </si>
  <si>
    <t xml:space="preserve">Formatos diferentes. Stack trace na resposta.</t>
  </si>
  <si>
    <t xml:space="preserve">Criar um handler global de exceções.</t>
  </si>
  <si>
    <t xml:space="preserve">DES-01</t>
  </si>
  <si>
    <t xml:space="preserve">Listar 10 mil produtos</t>
  </si>
  <si>
    <t xml:space="preserve">10 mil produtos cadastrados.</t>
  </si>
  <si>
    <t xml:space="preserve">Listar produtos com paginação.</t>
  </si>
  <si>
    <t xml:space="preserve">Resposta em até 1 s (meta a definir) e memória estável.</t>
  </si>
  <si>
    <t xml:space="preserve">Timeout. Carregar tudo de uma vez.</t>
  </si>
  <si>
    <t xml:space="preserve">Adicionar paginação e índices.</t>
  </si>
  <si>
    <t xml:space="preserve">DES-02</t>
  </si>
  <si>
    <t xml:space="preserve">Histórico com 100 mil movimentações</t>
  </si>
  <si>
    <t xml:space="preserve">100 mil movimentações.</t>
  </si>
  <si>
    <t xml:space="preserve">Consultar o histórico com filtros.</t>
  </si>
  <si>
    <t xml:space="preserve">Resposta em até 2 s (meta a definir) com índices.</t>
  </si>
  <si>
    <t xml:space="preserve">Timeout. Varredura completa da tabela.</t>
  </si>
  <si>
    <t xml:space="preserve">Criar índices por produto e data.</t>
  </si>
  <si>
    <t xml:space="preserve">DES-03</t>
  </si>
  <si>
    <t xml:space="preserve">50 requisições simultâneas</t>
  </si>
  <si>
    <t xml:space="preserve">Disparar 50 requisições simultâneas misturando consultas e movimentações.</t>
  </si>
  <si>
    <t xml:space="preserve">Todas respondem, sem 5xx e sem deadlock. Saldos corretos.</t>
  </si>
  <si>
    <t xml:space="preserve">Erro 5xx. Deadlock. Saldo errado.</t>
  </si>
  <si>
    <t xml:space="preserve">Revisar o pool de conexões e o isolamento de transações.</t>
  </si>
  <si>
    <t xml:space="preserve">DES-04</t>
  </si>
  <si>
    <t xml:space="preserve">FEFO com 1000 lotes</t>
  </si>
  <si>
    <t xml:space="preserve">Produto com 1000 lotes.</t>
  </si>
  <si>
    <t xml:space="preserve">Registrar saída por FEFO.</t>
  </si>
  <si>
    <t xml:space="preserve">Resposta em até 1 s (meta a definir) e lote correto.</t>
  </si>
  <si>
    <t xml:space="preserve">Lento. Lote errado.</t>
  </si>
  <si>
    <t xml:space="preserve">Revisar a consulta de lotes (índice por produto e validade).</t>
  </si>
  <si>
    <t xml:space="preserve">O que fazer quando um teste falha (vale para qualquer caso)</t>
  </si>
  <si>
    <t xml:space="preserve">Passo</t>
  </si>
  <si>
    <t xml:space="preserve">O que fazer</t>
  </si>
  <si>
    <t xml:space="preserve">1. Repetir</t>
  </si>
  <si>
    <t xml:space="preserve">Rode o teste de novo, do zero, com o banco no estado da pré-condição. Se passar, anote como instável e investigue concorrência ou dados sujos.</t>
  </si>
  <si>
    <t xml:space="preserve">2. Guardar evidências</t>
  </si>
  <si>
    <t xml:space="preserve">Anote o endpoint, o corpo enviado, o status e o corpo da resposta, o horário e o trecho do log do servidor. Para erro 500, o traceback é obrigatório.</t>
  </si>
  <si>
    <t xml:space="preserve">3. Classificar a causa</t>
  </si>
  <si>
    <t xml:space="preserve">Bug do sistema, teste escrito errado, problema de ambiente ou dados, ou funcionalidade que ainda não existe (pendência).</t>
  </si>
  <si>
    <t xml:space="preserve">4. Definir a severidade</t>
  </si>
  <si>
    <t xml:space="preserve">Use a severidade da coluna 'Severidade se falhar'. Suba um nível se o erro afetar saldo, segurança ou perda de dados.</t>
  </si>
  <si>
    <t xml:space="preserve">5. Atualizar o status</t>
  </si>
  <si>
    <t xml:space="preserve">Falhou (bug), Bloqueado (depende de outro caso falho), N/A (funcionalidade inexistente) ou Passou. Preencha Responsável e Observações.</t>
  </si>
  <si>
    <t xml:space="preserve">6. Abrir o bug</t>
  </si>
  <si>
    <t xml:space="preserve">Título curto com o ID do caso, passos, resultado esperado, resultado obtido e evidências. Marque o ID do caso no bug.</t>
  </si>
  <si>
    <t xml:space="preserve">7. Reteste</t>
  </si>
  <si>
    <t xml:space="preserve">Depois da correção, repita o caso que falhou e rode de novo todos os casos do mesmo módulo (regressão). Em crítica, rode também INT-01.</t>
  </si>
  <si>
    <t xml:space="preserve">8. Liberação</t>
  </si>
  <si>
    <t xml:space="preserve">Não liberar versão com caso Crítico em Falhou ou Bloqueado. Falhas Altas só com decisão registrada.</t>
  </si>
  <si>
    <t xml:space="preserve">Severidade</t>
  </si>
  <si>
    <t xml:space="preserve">Nível</t>
  </si>
  <si>
    <t xml:space="preserve">Quando se aplica</t>
  </si>
  <si>
    <t xml:space="preserve">Saldo errado, saída com saldo insuficiente, FEFO errado, falha de autenticação ou permissão, vazamento de senha, perda de dados.</t>
  </si>
  <si>
    <t xml:space="preserve">Funcionalidade principal incorreta ou alerta que não aparece, mas sem corromper dados.</t>
  </si>
  <si>
    <t xml:space="preserve">Validação, filtro ou mensagem incorreta com alternativa óbvia.</t>
  </si>
  <si>
    <t xml:space="preserve">Detalhe de formato, ordem ou documentação.</t>
  </si>
  <si>
    <t xml:space="preserve">Como agir por código de resposta inesperado</t>
  </si>
  <si>
    <t xml:space="preserve">Código recebido</t>
  </si>
  <si>
    <t xml:space="preserve">500 (qualquer caso)</t>
  </si>
  <si>
    <t xml:space="preserve">Sempre é bug. Um erro do cliente nunca deve virar 500. Anexe o traceback e trate a exceção na camada correta.</t>
  </si>
  <si>
    <t xml:space="preserve">200 ou 201 onde se esperava erro</t>
  </si>
  <si>
    <t xml:space="preserve">Bug de validação. Verifique se algum dado foi gravado e limpe antes de repetir.</t>
  </si>
  <si>
    <t xml:space="preserve">401 onde se esperava 403</t>
  </si>
  <si>
    <t xml:space="preserve">Ordem errada: autenticação deve vir antes da permissão. Confira as dependências da rota.</t>
  </si>
  <si>
    <t xml:space="preserve">403 onde se esperava 2xx</t>
  </si>
  <si>
    <t xml:space="preserve">Revise a matriz de permissões do perfil usado no teste.</t>
  </si>
  <si>
    <t xml:space="preserve">404 onde se esperava 2xx</t>
  </si>
  <si>
    <t xml:space="preserve">Confira o id usado, o estado da pré-condição e a rota.</t>
  </si>
  <si>
    <t xml:space="preserve">422 onde se esperava 2xx</t>
  </si>
  <si>
    <t xml:space="preserve">Confira o payload do teste. Se estiver certo, a validação está rígida demais.</t>
  </si>
  <si>
    <t xml:space="preserve">409 ausente em duplicidade</t>
  </si>
  <si>
    <t xml:space="preserve">Falta unique no banco ou tratamento do IntegrityError.</t>
  </si>
  <si>
    <t xml:space="preserve">Timeout ou sem resposta</t>
  </si>
  <si>
    <t xml:space="preserve">Registrar como falha de desempenho ou ambiente. Checar conexão com o banco, pool e travas.</t>
  </si>
  <si>
    <t xml:space="preserve">Regras que valem para todos os casos</t>
  </si>
  <si>
    <t xml:space="preserve">Regra</t>
  </si>
  <si>
    <t xml:space="preserve">O que verificar</t>
  </si>
  <si>
    <t xml:space="preserve">Falha não deixa rastro</t>
  </si>
  <si>
    <t xml:space="preserve">Quando a operação é rejeitada, o saldo, os lotes e o histórico ficam exatamente como estavam.</t>
  </si>
  <si>
    <t xml:space="preserve">Mensagens seguras</t>
  </si>
  <si>
    <t xml:space="preserve">A resposta de erro nunca mostra stack trace, SQL, caminho de arquivo, senha, hash ou dados de outros usuários.</t>
  </si>
  <si>
    <t xml:space="preserve">Saldo nunca negativo</t>
  </si>
  <si>
    <t xml:space="preserve">Em nenhuma situação o saldo de produto ou de lote fica abaixo de zero.</t>
  </si>
  <si>
    <t xml:space="preserve">Auditoria</t>
  </si>
  <si>
    <t xml:space="preserve">Toda movimentação aceita registra usuário, data e hora, e o histórico não pode ser editado ou apagado.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</si>
</sst>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2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DDEBF7"/>
      </patternFill>
    </fill>
    <fill>
      <patternFill patternType="solid">
        <fgColor rgb="FFE2EFDA"/>
        <bgColor rgb="FFDDEBF7"/>
      </patternFill>
    </fill>
    <fill>
      <patternFill patternType="solid">
        <fgColor rgb="FFF4B6B6"/>
        <bgColor rgb="FFFFC7CE"/>
      </patternFill>
    </fill>
    <fill>
      <patternFill patternType="solid">
        <fgColor rgb="FFFCE4E4"/>
        <bgColor rgb="FFFFF2CC"/>
      </patternFill>
    </fill>
    <fill>
      <patternFill patternType="solid">
        <fgColor rgb="FFF8CBAD"/>
        <bgColor rgb="FFFFC7CE"/>
      </patternFill>
    </fill>
    <fill>
      <patternFill patternType="solid">
        <fgColor rgb="FFFFE699"/>
        <bgColor rgb="FFFFEB9C"/>
      </patternFill>
    </fill>
    <fill>
      <patternFill patternType="solid">
        <fgColor rgb="FFFFF2CC"/>
        <bgColor rgb="FFFCE4E4"/>
      </patternFill>
    </fill>
    <fill>
      <patternFill patternType="solid">
        <fgColor rgb="FFDDEBF7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E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4B6B6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E699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FCE4E4"/>
      <rgbColor rgb="FFF4B6B6"/>
      <rgbColor rgb="FFFFC7CE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9"/>
    <col collapsed="false" customWidth="true" hidden="false" outlineLevel="0" max="5" min="4" style="0" width="10"/>
    <col collapsed="false" customWidth="true" hidden="false" outlineLevel="0" max="6" min="6" style="0" width="13"/>
    <col collapsed="false" customWidth="true" hidden="false" outlineLevel="0" max="9" min="7" style="0" width="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 t="s">
        <v>11</v>
      </c>
      <c r="B5" s="5" t="s">
        <v>12</v>
      </c>
      <c r="C5" s="4" t="n">
        <f aca="false">COUNTIF('Casos de teste'!$B$2:$B$142,B5)</f>
        <v>10</v>
      </c>
      <c r="D5" s="4" t="n">
        <f aca="false">COUNTIFS('Casos de teste'!$B$2:$B$142,$B5,'Casos de teste'!$D$2:$D$142,"Positivo")</f>
        <v>2</v>
      </c>
      <c r="E5" s="4" t="n">
        <f aca="false">COUNTIFS('Casos de teste'!$B$2:$B$142,$B5,'Casos de teste'!$D$2:$D$142,"Negativo")</f>
        <v>6</v>
      </c>
      <c r="F5" s="4" t="n">
        <f aca="false">COUNTIFS('Casos de teste'!$B$2:$B$142,$B5,'Casos de teste'!$D$2:$D$142,"Regra/limite")</f>
        <v>2</v>
      </c>
      <c r="G5" s="4" t="n">
        <f aca="false">COUNTIFS('Casos de teste'!$B$2:$B$142,$B5,'Casos de teste'!$L$2:$L$142,"Passou")</f>
        <v>0</v>
      </c>
      <c r="H5" s="4" t="n">
        <f aca="false">COUNTIFS('Casos de teste'!$B$2:$B$142,$B5,'Casos de teste'!$L$2:$L$142,"Falhou")</f>
        <v>0</v>
      </c>
      <c r="I5" s="4" t="n">
        <f aca="false">COUNTIFS('Casos de teste'!$B$2:$B$142,$B5,'Casos de teste'!$L$2:$L$142,"Pendente")</f>
        <v>10</v>
      </c>
    </row>
    <row r="6" customFormat="false" ht="15" hidden="false" customHeight="false" outlineLevel="0" collapsed="false">
      <c r="A6" s="4" t="s">
        <v>13</v>
      </c>
      <c r="B6" s="5" t="s">
        <v>14</v>
      </c>
      <c r="C6" s="4" t="n">
        <f aca="false">COUNTIF('Casos de teste'!$B$2:$B$142,B6)</f>
        <v>9</v>
      </c>
      <c r="D6" s="4" t="n">
        <f aca="false">COUNTIFS('Casos de teste'!$B$2:$B$142,$B6,'Casos de teste'!$D$2:$D$142,"Positivo")</f>
        <v>3</v>
      </c>
      <c r="E6" s="4" t="n">
        <f aca="false">COUNTIFS('Casos de teste'!$B$2:$B$142,$B6,'Casos de teste'!$D$2:$D$142,"Negativo")</f>
        <v>3</v>
      </c>
      <c r="F6" s="4" t="n">
        <f aca="false">COUNTIFS('Casos de teste'!$B$2:$B$142,$B6,'Casos de teste'!$D$2:$D$142,"Regra/limite")</f>
        <v>3</v>
      </c>
      <c r="G6" s="4" t="n">
        <f aca="false">COUNTIFS('Casos de teste'!$B$2:$B$142,$B6,'Casos de teste'!$L$2:$L$142,"Passou")</f>
        <v>0</v>
      </c>
      <c r="H6" s="4" t="n">
        <f aca="false">COUNTIFS('Casos de teste'!$B$2:$B$142,$B6,'Casos de teste'!$L$2:$L$142,"Falhou")</f>
        <v>0</v>
      </c>
      <c r="I6" s="4" t="n">
        <f aca="false">COUNTIFS('Casos de teste'!$B$2:$B$142,$B6,'Casos de teste'!$L$2:$L$142,"Pendente")</f>
        <v>9</v>
      </c>
    </row>
    <row r="7" customFormat="false" ht="15" hidden="false" customHeight="false" outlineLevel="0" collapsed="false">
      <c r="A7" s="4" t="s">
        <v>15</v>
      </c>
      <c r="B7" s="5" t="s">
        <v>16</v>
      </c>
      <c r="C7" s="4" t="n">
        <f aca="false">COUNTIF('Casos de teste'!$B$2:$B$142,B7)</f>
        <v>6</v>
      </c>
      <c r="D7" s="4" t="n">
        <f aca="false">COUNTIFS('Casos de teste'!$B$2:$B$142,$B7,'Casos de teste'!$D$2:$D$142,"Positivo")</f>
        <v>2</v>
      </c>
      <c r="E7" s="4" t="n">
        <f aca="false">COUNTIFS('Casos de teste'!$B$2:$B$142,$B7,'Casos de teste'!$D$2:$D$142,"Negativo")</f>
        <v>3</v>
      </c>
      <c r="F7" s="4" t="n">
        <f aca="false">COUNTIFS('Casos de teste'!$B$2:$B$142,$B7,'Casos de teste'!$D$2:$D$142,"Regra/limite")</f>
        <v>1</v>
      </c>
      <c r="G7" s="4" t="n">
        <f aca="false">COUNTIFS('Casos de teste'!$B$2:$B$142,$B7,'Casos de teste'!$L$2:$L$142,"Passou")</f>
        <v>0</v>
      </c>
      <c r="H7" s="4" t="n">
        <f aca="false">COUNTIFS('Casos de teste'!$B$2:$B$142,$B7,'Casos de teste'!$L$2:$L$142,"Falhou")</f>
        <v>0</v>
      </c>
      <c r="I7" s="4" t="n">
        <f aca="false">COUNTIFS('Casos de teste'!$B$2:$B$142,$B7,'Casos de teste'!$L$2:$L$142,"Pendente")</f>
        <v>6</v>
      </c>
    </row>
    <row r="8" customFormat="false" ht="15" hidden="false" customHeight="false" outlineLevel="0" collapsed="false">
      <c r="A8" s="4" t="s">
        <v>17</v>
      </c>
      <c r="B8" s="5" t="s">
        <v>18</v>
      </c>
      <c r="C8" s="4" t="n">
        <f aca="false">COUNTIF('Casos de teste'!$B$2:$B$142,B8)</f>
        <v>8</v>
      </c>
      <c r="D8" s="4" t="n">
        <f aca="false">COUNTIFS('Casos de teste'!$B$2:$B$142,$B8,'Casos de teste'!$D$2:$D$142,"Positivo")</f>
        <v>3</v>
      </c>
      <c r="E8" s="4" t="n">
        <f aca="false">COUNTIFS('Casos de teste'!$B$2:$B$142,$B8,'Casos de teste'!$D$2:$D$142,"Negativo")</f>
        <v>3</v>
      </c>
      <c r="F8" s="4" t="n">
        <f aca="false">COUNTIFS('Casos de teste'!$B$2:$B$142,$B8,'Casos de teste'!$D$2:$D$142,"Regra/limite")</f>
        <v>2</v>
      </c>
      <c r="G8" s="4" t="n">
        <f aca="false">COUNTIFS('Casos de teste'!$B$2:$B$142,$B8,'Casos de teste'!$L$2:$L$142,"Passou")</f>
        <v>0</v>
      </c>
      <c r="H8" s="4" t="n">
        <f aca="false">COUNTIFS('Casos de teste'!$B$2:$B$142,$B8,'Casos de teste'!$L$2:$L$142,"Falhou")</f>
        <v>0</v>
      </c>
      <c r="I8" s="4" t="n">
        <f aca="false">COUNTIFS('Casos de teste'!$B$2:$B$142,$B8,'Casos de teste'!$L$2:$L$142,"Pendente")</f>
        <v>8</v>
      </c>
    </row>
    <row r="9" customFormat="false" ht="15" hidden="false" customHeight="false" outlineLevel="0" collapsed="false">
      <c r="A9" s="4" t="s">
        <v>19</v>
      </c>
      <c r="B9" s="5" t="s">
        <v>20</v>
      </c>
      <c r="C9" s="4" t="n">
        <f aca="false">COUNTIF('Casos de teste'!$B$2:$B$142,B9)</f>
        <v>13</v>
      </c>
      <c r="D9" s="4" t="n">
        <f aca="false">COUNTIFS('Casos de teste'!$B$2:$B$142,$B9,'Casos de teste'!$D$2:$D$142,"Positivo")</f>
        <v>5</v>
      </c>
      <c r="E9" s="4" t="n">
        <f aca="false">COUNTIFS('Casos de teste'!$B$2:$B$142,$B9,'Casos de teste'!$D$2:$D$142,"Negativo")</f>
        <v>4</v>
      </c>
      <c r="F9" s="4" t="n">
        <f aca="false">COUNTIFS('Casos de teste'!$B$2:$B$142,$B9,'Casos de teste'!$D$2:$D$142,"Regra/limite")</f>
        <v>4</v>
      </c>
      <c r="G9" s="4" t="n">
        <f aca="false">COUNTIFS('Casos de teste'!$B$2:$B$142,$B9,'Casos de teste'!$L$2:$L$142,"Passou")</f>
        <v>0</v>
      </c>
      <c r="H9" s="4" t="n">
        <f aca="false">COUNTIFS('Casos de teste'!$B$2:$B$142,$B9,'Casos de teste'!$L$2:$L$142,"Falhou")</f>
        <v>0</v>
      </c>
      <c r="I9" s="4" t="n">
        <f aca="false">COUNTIFS('Casos de teste'!$B$2:$B$142,$B9,'Casos de teste'!$L$2:$L$142,"Pendente")</f>
        <v>13</v>
      </c>
    </row>
    <row r="10" customFormat="false" ht="15" hidden="false" customHeight="false" outlineLevel="0" collapsed="false">
      <c r="A10" s="4" t="s">
        <v>21</v>
      </c>
      <c r="B10" s="5" t="s">
        <v>22</v>
      </c>
      <c r="C10" s="4" t="n">
        <f aca="false">COUNTIF('Casos de teste'!$B$2:$B$142,B10)</f>
        <v>9</v>
      </c>
      <c r="D10" s="4" t="n">
        <f aca="false">COUNTIFS('Casos de teste'!$B$2:$B$142,$B10,'Casos de teste'!$D$2:$D$142,"Positivo")</f>
        <v>3</v>
      </c>
      <c r="E10" s="4" t="n">
        <f aca="false">COUNTIFS('Casos de teste'!$B$2:$B$142,$B10,'Casos de teste'!$D$2:$D$142,"Negativo")</f>
        <v>3</v>
      </c>
      <c r="F10" s="4" t="n">
        <f aca="false">COUNTIFS('Casos de teste'!$B$2:$B$142,$B10,'Casos de teste'!$D$2:$D$142,"Regra/limite")</f>
        <v>3</v>
      </c>
      <c r="G10" s="4" t="n">
        <f aca="false">COUNTIFS('Casos de teste'!$B$2:$B$142,$B10,'Casos de teste'!$L$2:$L$142,"Passou")</f>
        <v>0</v>
      </c>
      <c r="H10" s="4" t="n">
        <f aca="false">COUNTIFS('Casos de teste'!$B$2:$B$142,$B10,'Casos de teste'!$L$2:$L$142,"Falhou")</f>
        <v>0</v>
      </c>
      <c r="I10" s="4" t="n">
        <f aca="false">COUNTIFS('Casos de teste'!$B$2:$B$142,$B10,'Casos de teste'!$L$2:$L$142,"Pendente")</f>
        <v>9</v>
      </c>
    </row>
    <row r="11" customFormat="false" ht="15" hidden="false" customHeight="false" outlineLevel="0" collapsed="false">
      <c r="A11" s="4" t="s">
        <v>23</v>
      </c>
      <c r="B11" s="5" t="s">
        <v>24</v>
      </c>
      <c r="C11" s="4" t="n">
        <f aca="false">COUNTIF('Casos de teste'!$B$2:$B$142,B11)</f>
        <v>8</v>
      </c>
      <c r="D11" s="4" t="n">
        <f aca="false">COUNTIFS('Casos de teste'!$B$2:$B$142,$B11,'Casos de teste'!$D$2:$D$142,"Positivo")</f>
        <v>3</v>
      </c>
      <c r="E11" s="4" t="n">
        <f aca="false">COUNTIFS('Casos de teste'!$B$2:$B$142,$B11,'Casos de teste'!$D$2:$D$142,"Negativo")</f>
        <v>3</v>
      </c>
      <c r="F11" s="4" t="n">
        <f aca="false">COUNTIFS('Casos de teste'!$B$2:$B$142,$B11,'Casos de teste'!$D$2:$D$142,"Regra/limite")</f>
        <v>2</v>
      </c>
      <c r="G11" s="4" t="n">
        <f aca="false">COUNTIFS('Casos de teste'!$B$2:$B$142,$B11,'Casos de teste'!$L$2:$L$142,"Passou")</f>
        <v>0</v>
      </c>
      <c r="H11" s="4" t="n">
        <f aca="false">COUNTIFS('Casos de teste'!$B$2:$B$142,$B11,'Casos de teste'!$L$2:$L$142,"Falhou")</f>
        <v>0</v>
      </c>
      <c r="I11" s="4" t="n">
        <f aca="false">COUNTIFS('Casos de teste'!$B$2:$B$142,$B11,'Casos de teste'!$L$2:$L$142,"Pendente")</f>
        <v>8</v>
      </c>
    </row>
    <row r="12" customFormat="false" ht="15" hidden="false" customHeight="false" outlineLevel="0" collapsed="false">
      <c r="A12" s="4" t="s">
        <v>25</v>
      </c>
      <c r="B12" s="5" t="s">
        <v>26</v>
      </c>
      <c r="C12" s="4" t="n">
        <f aca="false">COUNTIF('Casos de teste'!$B$2:$B$142,B12)</f>
        <v>13</v>
      </c>
      <c r="D12" s="4" t="n">
        <f aca="false">COUNTIFS('Casos de teste'!$B$2:$B$142,$B12,'Casos de teste'!$D$2:$D$142,"Positivo")</f>
        <v>2</v>
      </c>
      <c r="E12" s="4" t="n">
        <f aca="false">COUNTIFS('Casos de teste'!$B$2:$B$142,$B12,'Casos de teste'!$D$2:$D$142,"Negativo")</f>
        <v>3</v>
      </c>
      <c r="F12" s="4" t="n">
        <f aca="false">COUNTIFS('Casos de teste'!$B$2:$B$142,$B12,'Casos de teste'!$D$2:$D$142,"Regra/limite")</f>
        <v>8</v>
      </c>
      <c r="G12" s="4" t="n">
        <f aca="false">COUNTIFS('Casos de teste'!$B$2:$B$142,$B12,'Casos de teste'!$L$2:$L$142,"Passou")</f>
        <v>0</v>
      </c>
      <c r="H12" s="4" t="n">
        <f aca="false">COUNTIFS('Casos de teste'!$B$2:$B$142,$B12,'Casos de teste'!$L$2:$L$142,"Falhou")</f>
        <v>0</v>
      </c>
      <c r="I12" s="4" t="n">
        <f aca="false">COUNTIFS('Casos de teste'!$B$2:$B$142,$B12,'Casos de teste'!$L$2:$L$142,"Pendente")</f>
        <v>13</v>
      </c>
    </row>
    <row r="13" customFormat="false" ht="15" hidden="false" customHeight="false" outlineLevel="0" collapsed="false">
      <c r="A13" s="4" t="s">
        <v>27</v>
      </c>
      <c r="B13" s="5" t="s">
        <v>28</v>
      </c>
      <c r="C13" s="4" t="n">
        <f aca="false">COUNTIF('Casos de teste'!$B$2:$B$142,B13)</f>
        <v>7</v>
      </c>
      <c r="D13" s="4" t="n">
        <f aca="false">COUNTIFS('Casos de teste'!$B$2:$B$142,$B13,'Casos de teste'!$D$2:$D$142,"Positivo")</f>
        <v>2</v>
      </c>
      <c r="E13" s="4" t="n">
        <f aca="false">COUNTIFS('Casos de teste'!$B$2:$B$142,$B13,'Casos de teste'!$D$2:$D$142,"Negativo")</f>
        <v>3</v>
      </c>
      <c r="F13" s="4" t="n">
        <f aca="false">COUNTIFS('Casos de teste'!$B$2:$B$142,$B13,'Casos de teste'!$D$2:$D$142,"Regra/limite")</f>
        <v>2</v>
      </c>
      <c r="G13" s="4" t="n">
        <f aca="false">COUNTIFS('Casos de teste'!$B$2:$B$142,$B13,'Casos de teste'!$L$2:$L$142,"Passou")</f>
        <v>0</v>
      </c>
      <c r="H13" s="4" t="n">
        <f aca="false">COUNTIFS('Casos de teste'!$B$2:$B$142,$B13,'Casos de teste'!$L$2:$L$142,"Falhou")</f>
        <v>0</v>
      </c>
      <c r="I13" s="4" t="n">
        <f aca="false">COUNTIFS('Casos de teste'!$B$2:$B$142,$B13,'Casos de teste'!$L$2:$L$142,"Pendente")</f>
        <v>7</v>
      </c>
    </row>
    <row r="14" customFormat="false" ht="15" hidden="false" customHeight="false" outlineLevel="0" collapsed="false">
      <c r="A14" s="4" t="s">
        <v>29</v>
      </c>
      <c r="B14" s="5" t="s">
        <v>30</v>
      </c>
      <c r="C14" s="4" t="n">
        <f aca="false">COUNTIF('Casos de teste'!$B$2:$B$142,B14)</f>
        <v>10</v>
      </c>
      <c r="D14" s="4" t="n">
        <f aca="false">COUNTIFS('Casos de teste'!$B$2:$B$142,$B14,'Casos de teste'!$D$2:$D$142,"Positivo")</f>
        <v>4</v>
      </c>
      <c r="E14" s="4" t="n">
        <f aca="false">COUNTIFS('Casos de teste'!$B$2:$B$142,$B14,'Casos de teste'!$D$2:$D$142,"Negativo")</f>
        <v>2</v>
      </c>
      <c r="F14" s="4" t="n">
        <f aca="false">COUNTIFS('Casos de teste'!$B$2:$B$142,$B14,'Casos de teste'!$D$2:$D$142,"Regra/limite")</f>
        <v>4</v>
      </c>
      <c r="G14" s="4" t="n">
        <f aca="false">COUNTIFS('Casos de teste'!$B$2:$B$142,$B14,'Casos de teste'!$L$2:$L$142,"Passou")</f>
        <v>0</v>
      </c>
      <c r="H14" s="4" t="n">
        <f aca="false">COUNTIFS('Casos de teste'!$B$2:$B$142,$B14,'Casos de teste'!$L$2:$L$142,"Falhou")</f>
        <v>0</v>
      </c>
      <c r="I14" s="4" t="n">
        <f aca="false">COUNTIFS('Casos de teste'!$B$2:$B$142,$B14,'Casos de teste'!$L$2:$L$142,"Pendente")</f>
        <v>10</v>
      </c>
    </row>
    <row r="15" customFormat="false" ht="15" hidden="false" customHeight="false" outlineLevel="0" collapsed="false">
      <c r="A15" s="4" t="s">
        <v>31</v>
      </c>
      <c r="B15" s="5" t="s">
        <v>32</v>
      </c>
      <c r="C15" s="4" t="n">
        <f aca="false">COUNTIF('Casos de teste'!$B$2:$B$142,B15)</f>
        <v>10</v>
      </c>
      <c r="D15" s="4" t="n">
        <f aca="false">COUNTIFS('Casos de teste'!$B$2:$B$142,$B15,'Casos de teste'!$D$2:$D$142,"Positivo")</f>
        <v>3</v>
      </c>
      <c r="E15" s="4" t="n">
        <f aca="false">COUNTIFS('Casos de teste'!$B$2:$B$142,$B15,'Casos de teste'!$D$2:$D$142,"Negativo")</f>
        <v>2</v>
      </c>
      <c r="F15" s="4" t="n">
        <f aca="false">COUNTIFS('Casos de teste'!$B$2:$B$142,$B15,'Casos de teste'!$D$2:$D$142,"Regra/limite")</f>
        <v>5</v>
      </c>
      <c r="G15" s="4" t="n">
        <f aca="false">COUNTIFS('Casos de teste'!$B$2:$B$142,$B15,'Casos de teste'!$L$2:$L$142,"Passou")</f>
        <v>0</v>
      </c>
      <c r="H15" s="4" t="n">
        <f aca="false">COUNTIFS('Casos de teste'!$B$2:$B$142,$B15,'Casos de teste'!$L$2:$L$142,"Falhou")</f>
        <v>0</v>
      </c>
      <c r="I15" s="4" t="n">
        <f aca="false">COUNTIFS('Casos de teste'!$B$2:$B$142,$B15,'Casos de teste'!$L$2:$L$142,"Pendente")</f>
        <v>10</v>
      </c>
    </row>
    <row r="16" customFormat="false" ht="15" hidden="false" customHeight="false" outlineLevel="0" collapsed="false">
      <c r="A16" s="4" t="s">
        <v>33</v>
      </c>
      <c r="B16" s="5" t="s">
        <v>34</v>
      </c>
      <c r="C16" s="4" t="n">
        <f aca="false">COUNTIF('Casos de teste'!$B$2:$B$142,B16)</f>
        <v>6</v>
      </c>
      <c r="D16" s="4" t="n">
        <f aca="false">COUNTIFS('Casos de teste'!$B$2:$B$142,$B16,'Casos de teste'!$D$2:$D$142,"Positivo")</f>
        <v>1</v>
      </c>
      <c r="E16" s="4" t="n">
        <f aca="false">COUNTIFS('Casos de teste'!$B$2:$B$142,$B16,'Casos de teste'!$D$2:$D$142,"Negativo")</f>
        <v>4</v>
      </c>
      <c r="F16" s="4" t="n">
        <f aca="false">COUNTIFS('Casos de teste'!$B$2:$B$142,$B16,'Casos de teste'!$D$2:$D$142,"Regra/limite")</f>
        <v>1</v>
      </c>
      <c r="G16" s="4" t="n">
        <f aca="false">COUNTIFS('Casos de teste'!$B$2:$B$142,$B16,'Casos de teste'!$L$2:$L$142,"Passou")</f>
        <v>0</v>
      </c>
      <c r="H16" s="4" t="n">
        <f aca="false">COUNTIFS('Casos de teste'!$B$2:$B$142,$B16,'Casos de teste'!$L$2:$L$142,"Falhou")</f>
        <v>0</v>
      </c>
      <c r="I16" s="4" t="n">
        <f aca="false">COUNTIFS('Casos de teste'!$B$2:$B$142,$B16,'Casos de teste'!$L$2:$L$142,"Pendente")</f>
        <v>6</v>
      </c>
    </row>
    <row r="17" customFormat="false" ht="15" hidden="false" customHeight="false" outlineLevel="0" collapsed="false">
      <c r="A17" s="4" t="s">
        <v>35</v>
      </c>
      <c r="B17" s="5" t="s">
        <v>36</v>
      </c>
      <c r="C17" s="4" t="n">
        <f aca="false">COUNTIF('Casos de teste'!$B$2:$B$142,B17)</f>
        <v>9</v>
      </c>
      <c r="D17" s="4" t="n">
        <f aca="false">COUNTIFS('Casos de teste'!$B$2:$B$142,$B17,'Casos de teste'!$D$2:$D$142,"Positivo")</f>
        <v>1</v>
      </c>
      <c r="E17" s="4" t="n">
        <f aca="false">COUNTIFS('Casos de teste'!$B$2:$B$142,$B17,'Casos de teste'!$D$2:$D$142,"Negativo")</f>
        <v>4</v>
      </c>
      <c r="F17" s="4" t="n">
        <f aca="false">COUNTIFS('Casos de teste'!$B$2:$B$142,$B17,'Casos de teste'!$D$2:$D$142,"Regra/limite")</f>
        <v>4</v>
      </c>
      <c r="G17" s="4" t="n">
        <f aca="false">COUNTIFS('Casos de teste'!$B$2:$B$142,$B17,'Casos de teste'!$L$2:$L$142,"Passou")</f>
        <v>0</v>
      </c>
      <c r="H17" s="4" t="n">
        <f aca="false">COUNTIFS('Casos de teste'!$B$2:$B$142,$B17,'Casos de teste'!$L$2:$L$142,"Falhou")</f>
        <v>0</v>
      </c>
      <c r="I17" s="4" t="n">
        <f aca="false">COUNTIFS('Casos de teste'!$B$2:$B$142,$B17,'Casos de teste'!$L$2:$L$142,"Pendente")</f>
        <v>9</v>
      </c>
    </row>
    <row r="18" customFormat="false" ht="15" hidden="false" customHeight="false" outlineLevel="0" collapsed="false">
      <c r="A18" s="4" t="s">
        <v>37</v>
      </c>
      <c r="B18" s="5" t="s">
        <v>38</v>
      </c>
      <c r="C18" s="4" t="n">
        <f aca="false">COUNTIF('Casos de teste'!$B$2:$B$142,B18)</f>
        <v>7</v>
      </c>
      <c r="D18" s="4" t="n">
        <f aca="false">COUNTIFS('Casos de teste'!$B$2:$B$142,$B18,'Casos de teste'!$D$2:$D$142,"Positivo")</f>
        <v>2</v>
      </c>
      <c r="E18" s="4" t="n">
        <f aca="false">COUNTIFS('Casos de teste'!$B$2:$B$142,$B18,'Casos de teste'!$D$2:$D$142,"Negativo")</f>
        <v>2</v>
      </c>
      <c r="F18" s="4" t="n">
        <f aca="false">COUNTIFS('Casos de teste'!$B$2:$B$142,$B18,'Casos de teste'!$D$2:$D$142,"Regra/limite")</f>
        <v>3</v>
      </c>
      <c r="G18" s="4" t="n">
        <f aca="false">COUNTIFS('Casos de teste'!$B$2:$B$142,$B18,'Casos de teste'!$L$2:$L$142,"Passou")</f>
        <v>0</v>
      </c>
      <c r="H18" s="4" t="n">
        <f aca="false">COUNTIFS('Casos de teste'!$B$2:$B$142,$B18,'Casos de teste'!$L$2:$L$142,"Falhou")</f>
        <v>0</v>
      </c>
      <c r="I18" s="4" t="n">
        <f aca="false">COUNTIFS('Casos de teste'!$B$2:$B$142,$B18,'Casos de teste'!$L$2:$L$142,"Pendente")</f>
        <v>7</v>
      </c>
    </row>
    <row r="19" customFormat="false" ht="15" hidden="false" customHeight="false" outlineLevel="0" collapsed="false">
      <c r="A19" s="4" t="s">
        <v>39</v>
      </c>
      <c r="B19" s="5" t="s">
        <v>40</v>
      </c>
      <c r="C19" s="4" t="n">
        <f aca="false">COUNTIF('Casos de teste'!$B$2:$B$142,B19)</f>
        <v>7</v>
      </c>
      <c r="D19" s="4" t="n">
        <f aca="false">COUNTIFS('Casos de teste'!$B$2:$B$142,$B19,'Casos de teste'!$D$2:$D$142,"Positivo")</f>
        <v>5</v>
      </c>
      <c r="E19" s="4" t="n">
        <f aca="false">COUNTIFS('Casos de teste'!$B$2:$B$142,$B19,'Casos de teste'!$D$2:$D$142,"Negativo")</f>
        <v>1</v>
      </c>
      <c r="F19" s="4" t="n">
        <f aca="false">COUNTIFS('Casos de teste'!$B$2:$B$142,$B19,'Casos de teste'!$D$2:$D$142,"Regra/limite")</f>
        <v>1</v>
      </c>
      <c r="G19" s="4" t="n">
        <f aca="false">COUNTIFS('Casos de teste'!$B$2:$B$142,$B19,'Casos de teste'!$L$2:$L$142,"Passou")</f>
        <v>0</v>
      </c>
      <c r="H19" s="4" t="n">
        <f aca="false">COUNTIFS('Casos de teste'!$B$2:$B$142,$B19,'Casos de teste'!$L$2:$L$142,"Falhou")</f>
        <v>0</v>
      </c>
      <c r="I19" s="4" t="n">
        <f aca="false">COUNTIFS('Casos de teste'!$B$2:$B$142,$B19,'Casos de teste'!$L$2:$L$142,"Pendente")</f>
        <v>7</v>
      </c>
    </row>
    <row r="20" customFormat="false" ht="15" hidden="false" customHeight="false" outlineLevel="0" collapsed="false">
      <c r="A20" s="4" t="s">
        <v>41</v>
      </c>
      <c r="B20" s="5" t="s">
        <v>42</v>
      </c>
      <c r="C20" s="4" t="n">
        <f aca="false">COUNTIF('Casos de teste'!$B$2:$B$142,B20)</f>
        <v>5</v>
      </c>
      <c r="D20" s="4" t="n">
        <f aca="false">COUNTIFS('Casos de teste'!$B$2:$B$142,$B20,'Casos de teste'!$D$2:$D$142,"Positivo")</f>
        <v>2</v>
      </c>
      <c r="E20" s="4" t="n">
        <f aca="false">COUNTIFS('Casos de teste'!$B$2:$B$142,$B20,'Casos de teste'!$D$2:$D$142,"Negativo")</f>
        <v>2</v>
      </c>
      <c r="F20" s="4" t="n">
        <f aca="false">COUNTIFS('Casos de teste'!$B$2:$B$142,$B20,'Casos de teste'!$D$2:$D$142,"Regra/limite")</f>
        <v>1</v>
      </c>
      <c r="G20" s="4" t="n">
        <f aca="false">COUNTIFS('Casos de teste'!$B$2:$B$142,$B20,'Casos de teste'!$L$2:$L$142,"Passou")</f>
        <v>0</v>
      </c>
      <c r="H20" s="4" t="n">
        <f aca="false">COUNTIFS('Casos de teste'!$B$2:$B$142,$B20,'Casos de teste'!$L$2:$L$142,"Falhou")</f>
        <v>0</v>
      </c>
      <c r="I20" s="4" t="n">
        <f aca="false">COUNTIFS('Casos de teste'!$B$2:$B$142,$B20,'Casos de teste'!$L$2:$L$142,"Pendente")</f>
        <v>5</v>
      </c>
    </row>
    <row r="21" customFormat="false" ht="15" hidden="false" customHeight="false" outlineLevel="0" collapsed="false">
      <c r="A21" s="4" t="s">
        <v>43</v>
      </c>
      <c r="B21" s="5" t="s">
        <v>44</v>
      </c>
      <c r="C21" s="4" t="n">
        <f aca="false">COUNTIF('Casos de teste'!$B$2:$B$142,B21)</f>
        <v>4</v>
      </c>
      <c r="D21" s="4" t="n">
        <f aca="false">COUNTIFS('Casos de teste'!$B$2:$B$142,$B21,'Casos de teste'!$D$2:$D$142,"Positivo")</f>
        <v>0</v>
      </c>
      <c r="E21" s="4" t="n">
        <f aca="false">COUNTIFS('Casos de teste'!$B$2:$B$142,$B21,'Casos de teste'!$D$2:$D$142,"Negativo")</f>
        <v>0</v>
      </c>
      <c r="F21" s="4" t="n">
        <f aca="false">COUNTIFS('Casos de teste'!$B$2:$B$142,$B21,'Casos de teste'!$D$2:$D$142,"Regra/limite")</f>
        <v>4</v>
      </c>
      <c r="G21" s="4" t="n">
        <f aca="false">COUNTIFS('Casos de teste'!$B$2:$B$142,$B21,'Casos de teste'!$L$2:$L$142,"Passou")</f>
        <v>0</v>
      </c>
      <c r="H21" s="4" t="n">
        <f aca="false">COUNTIFS('Casos de teste'!$B$2:$B$142,$B21,'Casos de teste'!$L$2:$L$142,"Falhou")</f>
        <v>0</v>
      </c>
      <c r="I21" s="4" t="n">
        <f aca="false">COUNTIFS('Casos de teste'!$B$2:$B$142,$B21,'Casos de teste'!$L$2:$L$142,"Pendente")</f>
        <v>4</v>
      </c>
    </row>
    <row r="22" customFormat="false" ht="15" hidden="false" customHeight="false" outlineLevel="0" collapsed="false">
      <c r="A22" s="6" t="s">
        <v>4</v>
      </c>
      <c r="B22" s="6"/>
      <c r="C22" s="6" t="n">
        <f aca="false">SUM(C5:C21)</f>
        <v>141</v>
      </c>
      <c r="D22" s="6" t="n">
        <f aca="false">SUM(D5:D21)</f>
        <v>43</v>
      </c>
      <c r="E22" s="6" t="n">
        <f aca="false">SUM(E5:E21)</f>
        <v>48</v>
      </c>
      <c r="F22" s="6" t="n">
        <f aca="false">SUM(F5:F21)</f>
        <v>50</v>
      </c>
      <c r="G22" s="6" t="n">
        <f aca="false">SUM(G5:G21)</f>
        <v>0</v>
      </c>
      <c r="H22" s="6" t="n">
        <f aca="false">SUM(H5:H21)</f>
        <v>0</v>
      </c>
      <c r="I22" s="6" t="n">
        <f aca="false">SUM(I5:I21)</f>
        <v>141</v>
      </c>
    </row>
    <row r="24" customFormat="false" ht="15" hidden="false" customHeight="false" outlineLevel="0" collapsed="false">
      <c r="A24" s="7" t="s">
        <v>45</v>
      </c>
    </row>
    <row r="25" customFormat="false" ht="15" hidden="false" customHeight="false" outlineLevel="0" collapsed="false">
      <c r="A25" s="7" t="s">
        <v>46</v>
      </c>
    </row>
    <row r="26" customFormat="false" ht="15" hidden="false" customHeight="false" outlineLevel="0" collapsed="false">
      <c r="A26" s="7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36"/>
    <col collapsed="false" customWidth="true" hidden="false" outlineLevel="0" max="6" min="6" style="0" width="30"/>
    <col collapsed="false" customWidth="true" hidden="false" outlineLevel="0" max="8" min="7" style="0" width="40"/>
    <col collapsed="false" customWidth="true" hidden="false" outlineLevel="0" max="9" min="9" style="0" width="38"/>
    <col collapsed="false" customWidth="true" hidden="false" outlineLevel="0" max="10" min="10" style="0" width="44"/>
    <col collapsed="false" customWidth="true" hidden="false" outlineLevel="0" max="12" min="11" style="0" width="13"/>
    <col collapsed="false" customWidth="true" hidden="false" outlineLevel="0" max="13" min="13" style="0" width="15"/>
    <col collapsed="false" customWidth="true" hidden="false" outlineLevel="0" max="14" min="14" style="0" width="28"/>
  </cols>
  <sheetData>
    <row r="1" customFormat="false" ht="30" hidden="false" customHeight="true" outlineLevel="0" collapsed="false">
      <c r="A1" s="8" t="s">
        <v>48</v>
      </c>
      <c r="B1" s="8" t="s">
        <v>3</v>
      </c>
      <c r="C1" s="8" t="s">
        <v>49</v>
      </c>
      <c r="D1" s="8" t="s">
        <v>50</v>
      </c>
      <c r="E1" s="8" t="s">
        <v>51</v>
      </c>
      <c r="F1" s="8" t="s">
        <v>52</v>
      </c>
      <c r="G1" s="8" t="s">
        <v>53</v>
      </c>
      <c r="H1" s="8" t="s">
        <v>54</v>
      </c>
      <c r="I1" s="8" t="s">
        <v>55</v>
      </c>
      <c r="J1" s="8" t="s">
        <v>56</v>
      </c>
      <c r="K1" s="8" t="s">
        <v>57</v>
      </c>
      <c r="L1" s="8" t="s">
        <v>58</v>
      </c>
      <c r="M1" s="8" t="s">
        <v>59</v>
      </c>
      <c r="N1" s="8" t="s">
        <v>60</v>
      </c>
    </row>
    <row r="2" customFormat="false" ht="23.85" hidden="false" customHeight="false" outlineLevel="0" collapsed="false">
      <c r="A2" s="9" t="s">
        <v>61</v>
      </c>
      <c r="B2" s="10" t="s">
        <v>12</v>
      </c>
      <c r="C2" s="10" t="s">
        <v>62</v>
      </c>
      <c r="D2" s="11" t="s">
        <v>5</v>
      </c>
      <c r="E2" s="10" t="s">
        <v>63</v>
      </c>
      <c r="F2" s="10" t="s">
        <v>64</v>
      </c>
      <c r="G2" s="10" t="s">
        <v>65</v>
      </c>
      <c r="H2" s="10" t="s">
        <v>66</v>
      </c>
      <c r="I2" s="10" t="s">
        <v>67</v>
      </c>
      <c r="J2" s="10" t="s">
        <v>68</v>
      </c>
      <c r="K2" s="12" t="s">
        <v>69</v>
      </c>
      <c r="L2" s="13" t="s">
        <v>10</v>
      </c>
      <c r="M2" s="10"/>
      <c r="N2" s="10"/>
    </row>
    <row r="3" customFormat="false" ht="23.85" hidden="false" customHeight="false" outlineLevel="0" collapsed="false">
      <c r="A3" s="9" t="s">
        <v>70</v>
      </c>
      <c r="B3" s="10" t="s">
        <v>12</v>
      </c>
      <c r="C3" s="10" t="s">
        <v>62</v>
      </c>
      <c r="D3" s="11" t="s">
        <v>5</v>
      </c>
      <c r="E3" s="10" t="s">
        <v>71</v>
      </c>
      <c r="F3" s="10" t="s">
        <v>72</v>
      </c>
      <c r="G3" s="10" t="s">
        <v>73</v>
      </c>
      <c r="H3" s="10" t="s">
        <v>74</v>
      </c>
      <c r="I3" s="10" t="s">
        <v>75</v>
      </c>
      <c r="J3" s="10" t="s">
        <v>76</v>
      </c>
      <c r="K3" s="12" t="s">
        <v>69</v>
      </c>
      <c r="L3" s="13" t="s">
        <v>10</v>
      </c>
      <c r="M3" s="10"/>
      <c r="N3" s="10"/>
    </row>
    <row r="4" customFormat="false" ht="23.85" hidden="false" customHeight="false" outlineLevel="0" collapsed="false">
      <c r="A4" s="9" t="s">
        <v>77</v>
      </c>
      <c r="B4" s="10" t="s">
        <v>12</v>
      </c>
      <c r="C4" s="10" t="s">
        <v>62</v>
      </c>
      <c r="D4" s="14" t="s">
        <v>6</v>
      </c>
      <c r="E4" s="10" t="s">
        <v>78</v>
      </c>
      <c r="F4" s="10" t="s">
        <v>64</v>
      </c>
      <c r="G4" s="10" t="s">
        <v>79</v>
      </c>
      <c r="H4" s="10" t="s">
        <v>80</v>
      </c>
      <c r="I4" s="10" t="s">
        <v>81</v>
      </c>
      <c r="J4" s="10" t="s">
        <v>82</v>
      </c>
      <c r="K4" s="12" t="s">
        <v>69</v>
      </c>
      <c r="L4" s="13" t="s">
        <v>10</v>
      </c>
      <c r="M4" s="10"/>
      <c r="N4" s="10"/>
    </row>
    <row r="5" customFormat="false" ht="23.85" hidden="false" customHeight="false" outlineLevel="0" collapsed="false">
      <c r="A5" s="9" t="s">
        <v>83</v>
      </c>
      <c r="B5" s="10" t="s">
        <v>12</v>
      </c>
      <c r="C5" s="10" t="s">
        <v>62</v>
      </c>
      <c r="D5" s="14" t="s">
        <v>6</v>
      </c>
      <c r="E5" s="10" t="s">
        <v>84</v>
      </c>
      <c r="F5" s="10" t="s">
        <v>85</v>
      </c>
      <c r="G5" s="10" t="s">
        <v>86</v>
      </c>
      <c r="H5" s="10" t="s">
        <v>87</v>
      </c>
      <c r="I5" s="10" t="s">
        <v>88</v>
      </c>
      <c r="J5" s="10" t="s">
        <v>89</v>
      </c>
      <c r="K5" s="15" t="s">
        <v>90</v>
      </c>
      <c r="L5" s="13" t="s">
        <v>10</v>
      </c>
      <c r="M5" s="10"/>
      <c r="N5" s="10"/>
    </row>
    <row r="6" customFormat="false" ht="23.85" hidden="false" customHeight="false" outlineLevel="0" collapsed="false">
      <c r="A6" s="9" t="s">
        <v>91</v>
      </c>
      <c r="B6" s="10" t="s">
        <v>12</v>
      </c>
      <c r="C6" s="10" t="s">
        <v>62</v>
      </c>
      <c r="D6" s="14" t="s">
        <v>6</v>
      </c>
      <c r="E6" s="10" t="s">
        <v>92</v>
      </c>
      <c r="F6" s="10" t="s">
        <v>93</v>
      </c>
      <c r="G6" s="10" t="s">
        <v>94</v>
      </c>
      <c r="H6" s="10" t="s">
        <v>95</v>
      </c>
      <c r="I6" s="10" t="s">
        <v>96</v>
      </c>
      <c r="J6" s="10" t="s">
        <v>97</v>
      </c>
      <c r="K6" s="12" t="s">
        <v>69</v>
      </c>
      <c r="L6" s="13" t="s">
        <v>10</v>
      </c>
      <c r="M6" s="10"/>
      <c r="N6" s="10"/>
    </row>
    <row r="7" customFormat="false" ht="23.85" hidden="false" customHeight="false" outlineLevel="0" collapsed="false">
      <c r="A7" s="9" t="s">
        <v>98</v>
      </c>
      <c r="B7" s="10" t="s">
        <v>12</v>
      </c>
      <c r="C7" s="10" t="s">
        <v>62</v>
      </c>
      <c r="D7" s="14" t="s">
        <v>6</v>
      </c>
      <c r="E7" s="10" t="s">
        <v>99</v>
      </c>
      <c r="F7" s="10" t="s">
        <v>100</v>
      </c>
      <c r="G7" s="10" t="s">
        <v>101</v>
      </c>
      <c r="H7" s="10" t="s">
        <v>95</v>
      </c>
      <c r="I7" s="10" t="s">
        <v>102</v>
      </c>
      <c r="J7" s="10" t="s">
        <v>103</v>
      </c>
      <c r="K7" s="12" t="s">
        <v>69</v>
      </c>
      <c r="L7" s="13" t="s">
        <v>10</v>
      </c>
      <c r="M7" s="10"/>
      <c r="N7" s="10"/>
    </row>
    <row r="8" customFormat="false" ht="23.85" hidden="false" customHeight="false" outlineLevel="0" collapsed="false">
      <c r="A8" s="9" t="s">
        <v>104</v>
      </c>
      <c r="B8" s="10" t="s">
        <v>12</v>
      </c>
      <c r="C8" s="10" t="s">
        <v>62</v>
      </c>
      <c r="D8" s="14" t="s">
        <v>6</v>
      </c>
      <c r="E8" s="10" t="s">
        <v>105</v>
      </c>
      <c r="F8" s="10" t="s">
        <v>106</v>
      </c>
      <c r="G8" s="10" t="s">
        <v>107</v>
      </c>
      <c r="H8" s="10" t="s">
        <v>108</v>
      </c>
      <c r="I8" s="10" t="s">
        <v>109</v>
      </c>
      <c r="J8" s="10" t="s">
        <v>110</v>
      </c>
      <c r="K8" s="12" t="s">
        <v>69</v>
      </c>
      <c r="L8" s="13" t="s">
        <v>10</v>
      </c>
      <c r="M8" s="10"/>
      <c r="N8" s="10"/>
    </row>
    <row r="9" customFormat="false" ht="15" hidden="false" customHeight="false" outlineLevel="0" collapsed="false">
      <c r="A9" s="9" t="s">
        <v>111</v>
      </c>
      <c r="B9" s="10" t="s">
        <v>12</v>
      </c>
      <c r="C9" s="10" t="s">
        <v>62</v>
      </c>
      <c r="D9" s="14" t="s">
        <v>6</v>
      </c>
      <c r="E9" s="10" t="s">
        <v>112</v>
      </c>
      <c r="F9" s="10" t="s">
        <v>93</v>
      </c>
      <c r="G9" s="10" t="s">
        <v>113</v>
      </c>
      <c r="H9" s="10" t="s">
        <v>114</v>
      </c>
      <c r="I9" s="10" t="s">
        <v>115</v>
      </c>
      <c r="J9" s="10" t="s">
        <v>116</v>
      </c>
      <c r="K9" s="16" t="s">
        <v>117</v>
      </c>
      <c r="L9" s="13" t="s">
        <v>10</v>
      </c>
      <c r="M9" s="10"/>
      <c r="N9" s="10"/>
    </row>
    <row r="10" customFormat="false" ht="23.85" hidden="false" customHeight="false" outlineLevel="0" collapsed="false">
      <c r="A10" s="9" t="s">
        <v>118</v>
      </c>
      <c r="B10" s="10" t="s">
        <v>12</v>
      </c>
      <c r="C10" s="10" t="s">
        <v>62</v>
      </c>
      <c r="D10" s="17" t="s">
        <v>7</v>
      </c>
      <c r="E10" s="10" t="s">
        <v>119</v>
      </c>
      <c r="F10" s="10" t="s">
        <v>120</v>
      </c>
      <c r="G10" s="10" t="s">
        <v>121</v>
      </c>
      <c r="H10" s="10" t="s">
        <v>122</v>
      </c>
      <c r="I10" s="10" t="s">
        <v>123</v>
      </c>
      <c r="J10" s="10" t="s">
        <v>124</v>
      </c>
      <c r="K10" s="15" t="s">
        <v>90</v>
      </c>
      <c r="L10" s="13" t="s">
        <v>10</v>
      </c>
      <c r="M10" s="10"/>
      <c r="N10" s="10"/>
    </row>
    <row r="11" customFormat="false" ht="23.85" hidden="false" customHeight="false" outlineLevel="0" collapsed="false">
      <c r="A11" s="9" t="s">
        <v>125</v>
      </c>
      <c r="B11" s="10" t="s">
        <v>12</v>
      </c>
      <c r="C11" s="10" t="s">
        <v>62</v>
      </c>
      <c r="D11" s="17" t="s">
        <v>7</v>
      </c>
      <c r="E11" s="10" t="s">
        <v>126</v>
      </c>
      <c r="F11" s="10" t="s">
        <v>127</v>
      </c>
      <c r="G11" s="10" t="s">
        <v>128</v>
      </c>
      <c r="H11" s="10" t="s">
        <v>129</v>
      </c>
      <c r="I11" s="10" t="s">
        <v>130</v>
      </c>
      <c r="J11" s="10" t="s">
        <v>131</v>
      </c>
      <c r="K11" s="16" t="s">
        <v>117</v>
      </c>
      <c r="L11" s="13" t="s">
        <v>10</v>
      </c>
      <c r="M11" s="10"/>
      <c r="N11" s="10"/>
    </row>
    <row r="12" customFormat="false" ht="23.85" hidden="false" customHeight="false" outlineLevel="0" collapsed="false">
      <c r="A12" s="9" t="s">
        <v>132</v>
      </c>
      <c r="B12" s="10" t="s">
        <v>14</v>
      </c>
      <c r="C12" s="10" t="s">
        <v>62</v>
      </c>
      <c r="D12" s="11" t="s">
        <v>5</v>
      </c>
      <c r="E12" s="10" t="s">
        <v>133</v>
      </c>
      <c r="F12" s="10" t="s">
        <v>134</v>
      </c>
      <c r="G12" s="10" t="s">
        <v>135</v>
      </c>
      <c r="H12" s="10" t="s">
        <v>136</v>
      </c>
      <c r="I12" s="10" t="s">
        <v>137</v>
      </c>
      <c r="J12" s="10" t="s">
        <v>138</v>
      </c>
      <c r="K12" s="15" t="s">
        <v>90</v>
      </c>
      <c r="L12" s="13" t="s">
        <v>10</v>
      </c>
      <c r="M12" s="10"/>
      <c r="N12" s="10"/>
    </row>
    <row r="13" customFormat="false" ht="23.85" hidden="false" customHeight="false" outlineLevel="0" collapsed="false">
      <c r="A13" s="9" t="s">
        <v>139</v>
      </c>
      <c r="B13" s="10" t="s">
        <v>14</v>
      </c>
      <c r="C13" s="10" t="s">
        <v>62</v>
      </c>
      <c r="D13" s="11" t="s">
        <v>5</v>
      </c>
      <c r="E13" s="10" t="s">
        <v>140</v>
      </c>
      <c r="F13" s="10" t="s">
        <v>141</v>
      </c>
      <c r="G13" s="10" t="s">
        <v>142</v>
      </c>
      <c r="H13" s="10" t="s">
        <v>143</v>
      </c>
      <c r="I13" s="10" t="s">
        <v>144</v>
      </c>
      <c r="J13" s="10" t="s">
        <v>145</v>
      </c>
      <c r="K13" s="16" t="s">
        <v>117</v>
      </c>
      <c r="L13" s="13" t="s">
        <v>10</v>
      </c>
      <c r="M13" s="10"/>
      <c r="N13" s="10"/>
    </row>
    <row r="14" customFormat="false" ht="23.85" hidden="false" customHeight="false" outlineLevel="0" collapsed="false">
      <c r="A14" s="9" t="s">
        <v>146</v>
      </c>
      <c r="B14" s="10" t="s">
        <v>14</v>
      </c>
      <c r="C14" s="10" t="s">
        <v>62</v>
      </c>
      <c r="D14" s="11" t="s">
        <v>5</v>
      </c>
      <c r="E14" s="10" t="s">
        <v>147</v>
      </c>
      <c r="F14" s="10" t="s">
        <v>148</v>
      </c>
      <c r="G14" s="10" t="s">
        <v>149</v>
      </c>
      <c r="H14" s="10" t="s">
        <v>150</v>
      </c>
      <c r="I14" s="10" t="s">
        <v>151</v>
      </c>
      <c r="J14" s="10" t="s">
        <v>152</v>
      </c>
      <c r="K14" s="16" t="s">
        <v>117</v>
      </c>
      <c r="L14" s="13" t="s">
        <v>10</v>
      </c>
      <c r="M14" s="10"/>
      <c r="N14" s="10"/>
    </row>
    <row r="15" customFormat="false" ht="23.85" hidden="false" customHeight="false" outlineLevel="0" collapsed="false">
      <c r="A15" s="9" t="s">
        <v>153</v>
      </c>
      <c r="B15" s="10" t="s">
        <v>14</v>
      </c>
      <c r="C15" s="10" t="s">
        <v>62</v>
      </c>
      <c r="D15" s="14" t="s">
        <v>6</v>
      </c>
      <c r="E15" s="10" t="s">
        <v>154</v>
      </c>
      <c r="F15" s="10" t="s">
        <v>155</v>
      </c>
      <c r="G15" s="10" t="s">
        <v>156</v>
      </c>
      <c r="H15" s="10" t="s">
        <v>157</v>
      </c>
      <c r="I15" s="10" t="s">
        <v>158</v>
      </c>
      <c r="J15" s="10" t="s">
        <v>159</v>
      </c>
      <c r="K15" s="15" t="s">
        <v>90</v>
      </c>
      <c r="L15" s="13" t="s">
        <v>10</v>
      </c>
      <c r="M15" s="10"/>
      <c r="N15" s="10"/>
    </row>
    <row r="16" customFormat="false" ht="15" hidden="false" customHeight="false" outlineLevel="0" collapsed="false">
      <c r="A16" s="9" t="s">
        <v>160</v>
      </c>
      <c r="B16" s="10" t="s">
        <v>14</v>
      </c>
      <c r="C16" s="10" t="s">
        <v>62</v>
      </c>
      <c r="D16" s="14" t="s">
        <v>6</v>
      </c>
      <c r="E16" s="10" t="s">
        <v>161</v>
      </c>
      <c r="F16" s="10" t="s">
        <v>134</v>
      </c>
      <c r="G16" s="10" t="s">
        <v>162</v>
      </c>
      <c r="H16" s="10" t="s">
        <v>163</v>
      </c>
      <c r="I16" s="10" t="s">
        <v>164</v>
      </c>
      <c r="J16" s="10" t="s">
        <v>165</v>
      </c>
      <c r="K16" s="16" t="s">
        <v>117</v>
      </c>
      <c r="L16" s="13" t="s">
        <v>10</v>
      </c>
      <c r="M16" s="10"/>
      <c r="N16" s="10"/>
    </row>
    <row r="17" customFormat="false" ht="23.85" hidden="false" customHeight="false" outlineLevel="0" collapsed="false">
      <c r="A17" s="9" t="s">
        <v>166</v>
      </c>
      <c r="B17" s="10" t="s">
        <v>14</v>
      </c>
      <c r="C17" s="10" t="s">
        <v>62</v>
      </c>
      <c r="D17" s="14" t="s">
        <v>6</v>
      </c>
      <c r="E17" s="10" t="s">
        <v>167</v>
      </c>
      <c r="F17" s="10" t="s">
        <v>134</v>
      </c>
      <c r="G17" s="10" t="s">
        <v>168</v>
      </c>
      <c r="H17" s="10" t="s">
        <v>169</v>
      </c>
      <c r="I17" s="10" t="s">
        <v>164</v>
      </c>
      <c r="J17" s="10" t="s">
        <v>170</v>
      </c>
      <c r="K17" s="15" t="s">
        <v>90</v>
      </c>
      <c r="L17" s="13" t="s">
        <v>10</v>
      </c>
      <c r="M17" s="10"/>
      <c r="N17" s="10"/>
    </row>
    <row r="18" customFormat="false" ht="23.85" hidden="false" customHeight="false" outlineLevel="0" collapsed="false">
      <c r="A18" s="9" t="s">
        <v>171</v>
      </c>
      <c r="B18" s="10" t="s">
        <v>14</v>
      </c>
      <c r="C18" s="10" t="s">
        <v>62</v>
      </c>
      <c r="D18" s="17" t="s">
        <v>7</v>
      </c>
      <c r="E18" s="10" t="s">
        <v>172</v>
      </c>
      <c r="F18" s="10" t="s">
        <v>173</v>
      </c>
      <c r="G18" s="10" t="s">
        <v>174</v>
      </c>
      <c r="H18" s="10" t="s">
        <v>175</v>
      </c>
      <c r="I18" s="10" t="s">
        <v>176</v>
      </c>
      <c r="J18" s="10" t="s">
        <v>177</v>
      </c>
      <c r="K18" s="12" t="s">
        <v>69</v>
      </c>
      <c r="L18" s="13" t="s">
        <v>10</v>
      </c>
      <c r="M18" s="10"/>
      <c r="N18" s="10"/>
    </row>
    <row r="19" customFormat="false" ht="23.85" hidden="false" customHeight="false" outlineLevel="0" collapsed="false">
      <c r="A19" s="9" t="s">
        <v>178</v>
      </c>
      <c r="B19" s="10" t="s">
        <v>14</v>
      </c>
      <c r="C19" s="10" t="s">
        <v>62</v>
      </c>
      <c r="D19" s="17" t="s">
        <v>7</v>
      </c>
      <c r="E19" s="10" t="s">
        <v>179</v>
      </c>
      <c r="F19" s="10" t="s">
        <v>180</v>
      </c>
      <c r="G19" s="10" t="s">
        <v>181</v>
      </c>
      <c r="H19" s="10" t="s">
        <v>182</v>
      </c>
      <c r="I19" s="10" t="s">
        <v>183</v>
      </c>
      <c r="J19" s="10" t="s">
        <v>184</v>
      </c>
      <c r="K19" s="15" t="s">
        <v>90</v>
      </c>
      <c r="L19" s="13" t="s">
        <v>10</v>
      </c>
      <c r="M19" s="10"/>
      <c r="N19" s="10"/>
    </row>
    <row r="20" customFormat="false" ht="23.85" hidden="false" customHeight="false" outlineLevel="0" collapsed="false">
      <c r="A20" s="9" t="s">
        <v>185</v>
      </c>
      <c r="B20" s="10" t="s">
        <v>14</v>
      </c>
      <c r="C20" s="10" t="s">
        <v>62</v>
      </c>
      <c r="D20" s="17" t="s">
        <v>7</v>
      </c>
      <c r="E20" s="10" t="s">
        <v>186</v>
      </c>
      <c r="F20" s="10" t="s">
        <v>187</v>
      </c>
      <c r="G20" s="10" t="s">
        <v>188</v>
      </c>
      <c r="H20" s="10" t="s">
        <v>189</v>
      </c>
      <c r="I20" s="10" t="s">
        <v>190</v>
      </c>
      <c r="J20" s="10" t="s">
        <v>191</v>
      </c>
      <c r="K20" s="15" t="s">
        <v>90</v>
      </c>
      <c r="L20" s="13" t="s">
        <v>10</v>
      </c>
      <c r="M20" s="10"/>
      <c r="N20" s="10"/>
    </row>
    <row r="21" customFormat="false" ht="23.85" hidden="false" customHeight="false" outlineLevel="0" collapsed="false">
      <c r="A21" s="9" t="s">
        <v>192</v>
      </c>
      <c r="B21" s="10" t="s">
        <v>16</v>
      </c>
      <c r="C21" s="10" t="s">
        <v>62</v>
      </c>
      <c r="D21" s="11" t="s">
        <v>5</v>
      </c>
      <c r="E21" s="10" t="s">
        <v>193</v>
      </c>
      <c r="F21" s="10" t="s">
        <v>134</v>
      </c>
      <c r="G21" s="10" t="s">
        <v>194</v>
      </c>
      <c r="H21" s="10" t="s">
        <v>195</v>
      </c>
      <c r="I21" s="10" t="s">
        <v>196</v>
      </c>
      <c r="J21" s="10" t="s">
        <v>197</v>
      </c>
      <c r="K21" s="15" t="s">
        <v>90</v>
      </c>
      <c r="L21" s="13" t="s">
        <v>10</v>
      </c>
      <c r="M21" s="10"/>
      <c r="N21" s="10"/>
    </row>
    <row r="22" customFormat="false" ht="15" hidden="false" customHeight="false" outlineLevel="0" collapsed="false">
      <c r="A22" s="9" t="s">
        <v>198</v>
      </c>
      <c r="B22" s="10" t="s">
        <v>16</v>
      </c>
      <c r="C22" s="10" t="s">
        <v>62</v>
      </c>
      <c r="D22" s="11" t="s">
        <v>5</v>
      </c>
      <c r="E22" s="10" t="s">
        <v>199</v>
      </c>
      <c r="F22" s="10" t="s">
        <v>200</v>
      </c>
      <c r="G22" s="10" t="s">
        <v>201</v>
      </c>
      <c r="H22" s="10" t="s">
        <v>195</v>
      </c>
      <c r="I22" s="10" t="s">
        <v>202</v>
      </c>
      <c r="J22" s="10" t="s">
        <v>203</v>
      </c>
      <c r="K22" s="15" t="s">
        <v>90</v>
      </c>
      <c r="L22" s="13" t="s">
        <v>10</v>
      </c>
      <c r="M22" s="10"/>
      <c r="N22" s="10"/>
    </row>
    <row r="23" customFormat="false" ht="23.85" hidden="false" customHeight="false" outlineLevel="0" collapsed="false">
      <c r="A23" s="9" t="s">
        <v>204</v>
      </c>
      <c r="B23" s="10" t="s">
        <v>16</v>
      </c>
      <c r="C23" s="10" t="s">
        <v>62</v>
      </c>
      <c r="D23" s="14" t="s">
        <v>6</v>
      </c>
      <c r="E23" s="10" t="s">
        <v>205</v>
      </c>
      <c r="F23" s="10" t="s">
        <v>200</v>
      </c>
      <c r="G23" s="10" t="s">
        <v>206</v>
      </c>
      <c r="H23" s="10" t="s">
        <v>196</v>
      </c>
      <c r="I23" s="10" t="s">
        <v>207</v>
      </c>
      <c r="J23" s="10" t="s">
        <v>208</v>
      </c>
      <c r="K23" s="12" t="s">
        <v>69</v>
      </c>
      <c r="L23" s="13" t="s">
        <v>10</v>
      </c>
      <c r="M23" s="10"/>
      <c r="N23" s="10"/>
    </row>
    <row r="24" customFormat="false" ht="23.85" hidden="false" customHeight="false" outlineLevel="0" collapsed="false">
      <c r="A24" s="9" t="s">
        <v>209</v>
      </c>
      <c r="B24" s="10" t="s">
        <v>16</v>
      </c>
      <c r="C24" s="10" t="s">
        <v>62</v>
      </c>
      <c r="D24" s="14" t="s">
        <v>6</v>
      </c>
      <c r="E24" s="10" t="s">
        <v>210</v>
      </c>
      <c r="F24" s="10" t="s">
        <v>93</v>
      </c>
      <c r="G24" s="10" t="s">
        <v>211</v>
      </c>
      <c r="H24" s="10" t="s">
        <v>95</v>
      </c>
      <c r="I24" s="10" t="s">
        <v>212</v>
      </c>
      <c r="J24" s="10" t="s">
        <v>213</v>
      </c>
      <c r="K24" s="16" t="s">
        <v>117</v>
      </c>
      <c r="L24" s="13" t="s">
        <v>10</v>
      </c>
      <c r="M24" s="10"/>
      <c r="N24" s="10"/>
    </row>
    <row r="25" customFormat="false" ht="15" hidden="false" customHeight="false" outlineLevel="0" collapsed="false">
      <c r="A25" s="9" t="s">
        <v>214</v>
      </c>
      <c r="B25" s="10" t="s">
        <v>16</v>
      </c>
      <c r="C25" s="10" t="s">
        <v>62</v>
      </c>
      <c r="D25" s="14" t="s">
        <v>6</v>
      </c>
      <c r="E25" s="10" t="s">
        <v>215</v>
      </c>
      <c r="F25" s="10" t="s">
        <v>200</v>
      </c>
      <c r="G25" s="10" t="s">
        <v>216</v>
      </c>
      <c r="H25" s="10" t="s">
        <v>217</v>
      </c>
      <c r="I25" s="10" t="s">
        <v>218</v>
      </c>
      <c r="J25" s="10" t="s">
        <v>219</v>
      </c>
      <c r="K25" s="12" t="s">
        <v>69</v>
      </c>
      <c r="L25" s="13" t="s">
        <v>10</v>
      </c>
      <c r="M25" s="10"/>
      <c r="N25" s="10"/>
    </row>
    <row r="26" customFormat="false" ht="23.85" hidden="false" customHeight="false" outlineLevel="0" collapsed="false">
      <c r="A26" s="9" t="s">
        <v>220</v>
      </c>
      <c r="B26" s="10" t="s">
        <v>16</v>
      </c>
      <c r="C26" s="10" t="s">
        <v>62</v>
      </c>
      <c r="D26" s="17" t="s">
        <v>7</v>
      </c>
      <c r="E26" s="10" t="s">
        <v>221</v>
      </c>
      <c r="F26" s="10" t="s">
        <v>222</v>
      </c>
      <c r="G26" s="10" t="s">
        <v>223</v>
      </c>
      <c r="H26" s="10" t="s">
        <v>224</v>
      </c>
      <c r="I26" s="10" t="s">
        <v>225</v>
      </c>
      <c r="J26" s="10" t="s">
        <v>226</v>
      </c>
      <c r="K26" s="16" t="s">
        <v>117</v>
      </c>
      <c r="L26" s="13" t="s">
        <v>10</v>
      </c>
      <c r="M26" s="10"/>
      <c r="N26" s="10"/>
    </row>
    <row r="27" customFormat="false" ht="15" hidden="false" customHeight="false" outlineLevel="0" collapsed="false">
      <c r="A27" s="9" t="s">
        <v>227</v>
      </c>
      <c r="B27" s="10" t="s">
        <v>18</v>
      </c>
      <c r="C27" s="10" t="s">
        <v>62</v>
      </c>
      <c r="D27" s="11" t="s">
        <v>5</v>
      </c>
      <c r="E27" s="10" t="s">
        <v>228</v>
      </c>
      <c r="F27" s="10" t="s">
        <v>134</v>
      </c>
      <c r="G27" s="10" t="s">
        <v>229</v>
      </c>
      <c r="H27" s="10" t="s">
        <v>230</v>
      </c>
      <c r="I27" s="10" t="s">
        <v>231</v>
      </c>
      <c r="J27" s="10" t="s">
        <v>232</v>
      </c>
      <c r="K27" s="15" t="s">
        <v>90</v>
      </c>
      <c r="L27" s="13" t="s">
        <v>10</v>
      </c>
      <c r="M27" s="10"/>
      <c r="N27" s="10"/>
    </row>
    <row r="28" customFormat="false" ht="15" hidden="false" customHeight="false" outlineLevel="0" collapsed="false">
      <c r="A28" s="9" t="s">
        <v>233</v>
      </c>
      <c r="B28" s="10" t="s">
        <v>18</v>
      </c>
      <c r="C28" s="10" t="s">
        <v>62</v>
      </c>
      <c r="D28" s="11" t="s">
        <v>5</v>
      </c>
      <c r="E28" s="10" t="s">
        <v>234</v>
      </c>
      <c r="F28" s="10" t="s">
        <v>235</v>
      </c>
      <c r="G28" s="10" t="s">
        <v>236</v>
      </c>
      <c r="H28" s="10" t="s">
        <v>237</v>
      </c>
      <c r="I28" s="10" t="s">
        <v>238</v>
      </c>
      <c r="J28" s="10" t="s">
        <v>239</v>
      </c>
      <c r="K28" s="16" t="s">
        <v>117</v>
      </c>
      <c r="L28" s="13" t="s">
        <v>10</v>
      </c>
      <c r="M28" s="10"/>
      <c r="N28" s="10"/>
    </row>
    <row r="29" customFormat="false" ht="15" hidden="false" customHeight="false" outlineLevel="0" collapsed="false">
      <c r="A29" s="9" t="s">
        <v>240</v>
      </c>
      <c r="B29" s="10" t="s">
        <v>18</v>
      </c>
      <c r="C29" s="10" t="s">
        <v>62</v>
      </c>
      <c r="D29" s="11" t="s">
        <v>5</v>
      </c>
      <c r="E29" s="10" t="s">
        <v>241</v>
      </c>
      <c r="F29" s="10" t="s">
        <v>242</v>
      </c>
      <c r="G29" s="10" t="s">
        <v>243</v>
      </c>
      <c r="H29" s="10" t="s">
        <v>244</v>
      </c>
      <c r="I29" s="10" t="s">
        <v>245</v>
      </c>
      <c r="J29" s="10" t="s">
        <v>246</v>
      </c>
      <c r="K29" s="16" t="s">
        <v>117</v>
      </c>
      <c r="L29" s="13" t="s">
        <v>10</v>
      </c>
      <c r="M29" s="10"/>
      <c r="N29" s="10"/>
    </row>
    <row r="30" customFormat="false" ht="15" hidden="false" customHeight="false" outlineLevel="0" collapsed="false">
      <c r="A30" s="9" t="s">
        <v>247</v>
      </c>
      <c r="B30" s="10" t="s">
        <v>18</v>
      </c>
      <c r="C30" s="10" t="s">
        <v>62</v>
      </c>
      <c r="D30" s="14" t="s">
        <v>6</v>
      </c>
      <c r="E30" s="10" t="s">
        <v>248</v>
      </c>
      <c r="F30" s="10" t="s">
        <v>249</v>
      </c>
      <c r="G30" s="10" t="s">
        <v>250</v>
      </c>
      <c r="H30" s="10" t="s">
        <v>251</v>
      </c>
      <c r="I30" s="10" t="s">
        <v>252</v>
      </c>
      <c r="J30" s="10" t="s">
        <v>253</v>
      </c>
      <c r="K30" s="15" t="s">
        <v>90</v>
      </c>
      <c r="L30" s="13" t="s">
        <v>10</v>
      </c>
      <c r="M30" s="10"/>
      <c r="N30" s="10"/>
    </row>
    <row r="31" customFormat="false" ht="23.85" hidden="false" customHeight="false" outlineLevel="0" collapsed="false">
      <c r="A31" s="9" t="s">
        <v>254</v>
      </c>
      <c r="B31" s="10" t="s">
        <v>18</v>
      </c>
      <c r="C31" s="10" t="s">
        <v>62</v>
      </c>
      <c r="D31" s="14" t="s">
        <v>6</v>
      </c>
      <c r="E31" s="10" t="s">
        <v>255</v>
      </c>
      <c r="F31" s="10" t="s">
        <v>134</v>
      </c>
      <c r="G31" s="10" t="s">
        <v>256</v>
      </c>
      <c r="H31" s="10" t="s">
        <v>163</v>
      </c>
      <c r="I31" s="10" t="s">
        <v>164</v>
      </c>
      <c r="J31" s="10" t="s">
        <v>257</v>
      </c>
      <c r="K31" s="16" t="s">
        <v>117</v>
      </c>
      <c r="L31" s="13" t="s">
        <v>10</v>
      </c>
      <c r="M31" s="10"/>
      <c r="N31" s="10"/>
    </row>
    <row r="32" customFormat="false" ht="15" hidden="false" customHeight="false" outlineLevel="0" collapsed="false">
      <c r="A32" s="9" t="s">
        <v>258</v>
      </c>
      <c r="B32" s="10" t="s">
        <v>18</v>
      </c>
      <c r="C32" s="10" t="s">
        <v>62</v>
      </c>
      <c r="D32" s="14" t="s">
        <v>6</v>
      </c>
      <c r="E32" s="10" t="s">
        <v>259</v>
      </c>
      <c r="F32" s="10" t="s">
        <v>134</v>
      </c>
      <c r="G32" s="10" t="s">
        <v>260</v>
      </c>
      <c r="H32" s="10" t="s">
        <v>261</v>
      </c>
      <c r="I32" s="10" t="s">
        <v>262</v>
      </c>
      <c r="J32" s="10" t="s">
        <v>263</v>
      </c>
      <c r="K32" s="16" t="s">
        <v>117</v>
      </c>
      <c r="L32" s="13" t="s">
        <v>10</v>
      </c>
      <c r="M32" s="10"/>
      <c r="N32" s="10"/>
    </row>
    <row r="33" customFormat="false" ht="23.85" hidden="false" customHeight="false" outlineLevel="0" collapsed="false">
      <c r="A33" s="9" t="s">
        <v>264</v>
      </c>
      <c r="B33" s="10" t="s">
        <v>18</v>
      </c>
      <c r="C33" s="10" t="s">
        <v>62</v>
      </c>
      <c r="D33" s="17" t="s">
        <v>7</v>
      </c>
      <c r="E33" s="10" t="s">
        <v>265</v>
      </c>
      <c r="F33" s="10" t="s">
        <v>266</v>
      </c>
      <c r="G33" s="10" t="s">
        <v>267</v>
      </c>
      <c r="H33" s="10" t="s">
        <v>268</v>
      </c>
      <c r="I33" s="10" t="s">
        <v>269</v>
      </c>
      <c r="J33" s="10" t="s">
        <v>270</v>
      </c>
      <c r="K33" s="15" t="s">
        <v>90</v>
      </c>
      <c r="L33" s="13" t="s">
        <v>10</v>
      </c>
      <c r="M33" s="10"/>
      <c r="N33" s="10"/>
    </row>
    <row r="34" customFormat="false" ht="23.85" hidden="false" customHeight="false" outlineLevel="0" collapsed="false">
      <c r="A34" s="9" t="s">
        <v>271</v>
      </c>
      <c r="B34" s="10" t="s">
        <v>18</v>
      </c>
      <c r="C34" s="10" t="s">
        <v>62</v>
      </c>
      <c r="D34" s="17" t="s">
        <v>7</v>
      </c>
      <c r="E34" s="10" t="s">
        <v>272</v>
      </c>
      <c r="F34" s="10" t="s">
        <v>273</v>
      </c>
      <c r="G34" s="10" t="s">
        <v>274</v>
      </c>
      <c r="H34" s="10" t="s">
        <v>275</v>
      </c>
      <c r="I34" s="10" t="s">
        <v>276</v>
      </c>
      <c r="J34" s="10" t="s">
        <v>277</v>
      </c>
      <c r="K34" s="16" t="s">
        <v>117</v>
      </c>
      <c r="L34" s="13" t="s">
        <v>10</v>
      </c>
      <c r="M34" s="10"/>
      <c r="N34" s="10"/>
    </row>
    <row r="35" customFormat="false" ht="23.85" hidden="false" customHeight="false" outlineLevel="0" collapsed="false">
      <c r="A35" s="9" t="s">
        <v>278</v>
      </c>
      <c r="B35" s="10" t="s">
        <v>20</v>
      </c>
      <c r="C35" s="10" t="s">
        <v>62</v>
      </c>
      <c r="D35" s="11" t="s">
        <v>5</v>
      </c>
      <c r="E35" s="10" t="s">
        <v>279</v>
      </c>
      <c r="F35" s="10" t="s">
        <v>280</v>
      </c>
      <c r="G35" s="10" t="s">
        <v>281</v>
      </c>
      <c r="H35" s="10" t="s">
        <v>282</v>
      </c>
      <c r="I35" s="10" t="s">
        <v>283</v>
      </c>
      <c r="J35" s="10" t="s">
        <v>284</v>
      </c>
      <c r="K35" s="15" t="s">
        <v>90</v>
      </c>
      <c r="L35" s="13" t="s">
        <v>10</v>
      </c>
      <c r="M35" s="10"/>
      <c r="N35" s="10"/>
    </row>
    <row r="36" customFormat="false" ht="15" hidden="false" customHeight="false" outlineLevel="0" collapsed="false">
      <c r="A36" s="9" t="s">
        <v>285</v>
      </c>
      <c r="B36" s="10" t="s">
        <v>20</v>
      </c>
      <c r="C36" s="10" t="s">
        <v>62</v>
      </c>
      <c r="D36" s="11" t="s">
        <v>5</v>
      </c>
      <c r="E36" s="10" t="s">
        <v>286</v>
      </c>
      <c r="F36" s="10" t="s">
        <v>287</v>
      </c>
      <c r="G36" s="10" t="s">
        <v>288</v>
      </c>
      <c r="H36" s="10" t="s">
        <v>289</v>
      </c>
      <c r="I36" s="10" t="s">
        <v>290</v>
      </c>
      <c r="J36" s="10" t="s">
        <v>291</v>
      </c>
      <c r="K36" s="16" t="s">
        <v>117</v>
      </c>
      <c r="L36" s="13" t="s">
        <v>10</v>
      </c>
      <c r="M36" s="10"/>
      <c r="N36" s="10"/>
    </row>
    <row r="37" customFormat="false" ht="15" hidden="false" customHeight="false" outlineLevel="0" collapsed="false">
      <c r="A37" s="9" t="s">
        <v>292</v>
      </c>
      <c r="B37" s="10" t="s">
        <v>20</v>
      </c>
      <c r="C37" s="10" t="s">
        <v>62</v>
      </c>
      <c r="D37" s="11" t="s">
        <v>5</v>
      </c>
      <c r="E37" s="10" t="s">
        <v>293</v>
      </c>
      <c r="F37" s="10" t="s">
        <v>294</v>
      </c>
      <c r="G37" s="10" t="s">
        <v>295</v>
      </c>
      <c r="H37" s="10" t="s">
        <v>296</v>
      </c>
      <c r="I37" s="10" t="s">
        <v>297</v>
      </c>
      <c r="J37" s="10" t="s">
        <v>298</v>
      </c>
      <c r="K37" s="16" t="s">
        <v>117</v>
      </c>
      <c r="L37" s="13" t="s">
        <v>10</v>
      </c>
      <c r="M37" s="10"/>
      <c r="N37" s="10"/>
    </row>
    <row r="38" customFormat="false" ht="15" hidden="false" customHeight="false" outlineLevel="0" collapsed="false">
      <c r="A38" s="9" t="s">
        <v>299</v>
      </c>
      <c r="B38" s="10" t="s">
        <v>20</v>
      </c>
      <c r="C38" s="10" t="s">
        <v>62</v>
      </c>
      <c r="D38" s="11" t="s">
        <v>5</v>
      </c>
      <c r="E38" s="10" t="s">
        <v>300</v>
      </c>
      <c r="F38" s="10" t="s">
        <v>301</v>
      </c>
      <c r="G38" s="10" t="s">
        <v>302</v>
      </c>
      <c r="H38" s="10" t="s">
        <v>303</v>
      </c>
      <c r="I38" s="10" t="s">
        <v>304</v>
      </c>
      <c r="J38" s="10" t="s">
        <v>305</v>
      </c>
      <c r="K38" s="15" t="s">
        <v>90</v>
      </c>
      <c r="L38" s="13" t="s">
        <v>10</v>
      </c>
      <c r="M38" s="10"/>
      <c r="N38" s="10"/>
    </row>
    <row r="39" customFormat="false" ht="15" hidden="false" customHeight="false" outlineLevel="0" collapsed="false">
      <c r="A39" s="9" t="s">
        <v>306</v>
      </c>
      <c r="B39" s="10" t="s">
        <v>20</v>
      </c>
      <c r="C39" s="10" t="s">
        <v>62</v>
      </c>
      <c r="D39" s="11" t="s">
        <v>5</v>
      </c>
      <c r="E39" s="10" t="s">
        <v>307</v>
      </c>
      <c r="F39" s="10" t="s">
        <v>287</v>
      </c>
      <c r="G39" s="10" t="s">
        <v>308</v>
      </c>
      <c r="H39" s="10" t="s">
        <v>309</v>
      </c>
      <c r="I39" s="10" t="s">
        <v>310</v>
      </c>
      <c r="J39" s="10" t="s">
        <v>311</v>
      </c>
      <c r="K39" s="16" t="s">
        <v>117</v>
      </c>
      <c r="L39" s="13" t="s">
        <v>10</v>
      </c>
      <c r="M39" s="10"/>
      <c r="N39" s="10"/>
    </row>
    <row r="40" customFormat="false" ht="15" hidden="false" customHeight="false" outlineLevel="0" collapsed="false">
      <c r="A40" s="9" t="s">
        <v>312</v>
      </c>
      <c r="B40" s="10" t="s">
        <v>20</v>
      </c>
      <c r="C40" s="10" t="s">
        <v>62</v>
      </c>
      <c r="D40" s="14" t="s">
        <v>6</v>
      </c>
      <c r="E40" s="10" t="s">
        <v>313</v>
      </c>
      <c r="F40" s="10" t="s">
        <v>314</v>
      </c>
      <c r="G40" s="10" t="s">
        <v>315</v>
      </c>
      <c r="H40" s="10" t="s">
        <v>251</v>
      </c>
      <c r="I40" s="10" t="s">
        <v>316</v>
      </c>
      <c r="J40" s="10" t="s">
        <v>317</v>
      </c>
      <c r="K40" s="15" t="s">
        <v>90</v>
      </c>
      <c r="L40" s="13" t="s">
        <v>10</v>
      </c>
      <c r="M40" s="10"/>
      <c r="N40" s="10"/>
    </row>
    <row r="41" customFormat="false" ht="23.85" hidden="false" customHeight="false" outlineLevel="0" collapsed="false">
      <c r="A41" s="9" t="s">
        <v>318</v>
      </c>
      <c r="B41" s="10" t="s">
        <v>20</v>
      </c>
      <c r="C41" s="10" t="s">
        <v>62</v>
      </c>
      <c r="D41" s="14" t="s">
        <v>6</v>
      </c>
      <c r="E41" s="10" t="s">
        <v>259</v>
      </c>
      <c r="F41" s="10" t="s">
        <v>93</v>
      </c>
      <c r="G41" s="10" t="s">
        <v>319</v>
      </c>
      <c r="H41" s="10" t="s">
        <v>261</v>
      </c>
      <c r="I41" s="10" t="s">
        <v>252</v>
      </c>
      <c r="J41" s="10" t="s">
        <v>263</v>
      </c>
      <c r="K41" s="16" t="s">
        <v>117</v>
      </c>
      <c r="L41" s="13" t="s">
        <v>10</v>
      </c>
      <c r="M41" s="10"/>
      <c r="N41" s="10"/>
    </row>
    <row r="42" customFormat="false" ht="15" hidden="false" customHeight="false" outlineLevel="0" collapsed="false">
      <c r="A42" s="9" t="s">
        <v>320</v>
      </c>
      <c r="B42" s="10" t="s">
        <v>20</v>
      </c>
      <c r="C42" s="10" t="s">
        <v>62</v>
      </c>
      <c r="D42" s="14" t="s">
        <v>6</v>
      </c>
      <c r="E42" s="10" t="s">
        <v>321</v>
      </c>
      <c r="F42" s="10" t="s">
        <v>322</v>
      </c>
      <c r="G42" s="10" t="s">
        <v>323</v>
      </c>
      <c r="H42" s="10" t="s">
        <v>324</v>
      </c>
      <c r="I42" s="10" t="s">
        <v>325</v>
      </c>
      <c r="J42" s="10" t="s">
        <v>326</v>
      </c>
      <c r="K42" s="16" t="s">
        <v>117</v>
      </c>
      <c r="L42" s="13" t="s">
        <v>10</v>
      </c>
      <c r="M42" s="10"/>
      <c r="N42" s="10"/>
    </row>
    <row r="43" customFormat="false" ht="15" hidden="false" customHeight="false" outlineLevel="0" collapsed="false">
      <c r="A43" s="9" t="s">
        <v>327</v>
      </c>
      <c r="B43" s="10" t="s">
        <v>20</v>
      </c>
      <c r="C43" s="10" t="s">
        <v>62</v>
      </c>
      <c r="D43" s="14" t="s">
        <v>6</v>
      </c>
      <c r="E43" s="10" t="s">
        <v>328</v>
      </c>
      <c r="F43" s="10" t="s">
        <v>329</v>
      </c>
      <c r="G43" s="10" t="s">
        <v>330</v>
      </c>
      <c r="H43" s="10" t="s">
        <v>331</v>
      </c>
      <c r="I43" s="10" t="s">
        <v>332</v>
      </c>
      <c r="J43" s="10" t="s">
        <v>333</v>
      </c>
      <c r="K43" s="16" t="s">
        <v>117</v>
      </c>
      <c r="L43" s="13" t="s">
        <v>10</v>
      </c>
      <c r="M43" s="10"/>
      <c r="N43" s="10"/>
    </row>
    <row r="44" customFormat="false" ht="15" hidden="false" customHeight="false" outlineLevel="0" collapsed="false">
      <c r="A44" s="9" t="s">
        <v>334</v>
      </c>
      <c r="B44" s="10" t="s">
        <v>20</v>
      </c>
      <c r="C44" s="10" t="s">
        <v>62</v>
      </c>
      <c r="D44" s="17" t="s">
        <v>7</v>
      </c>
      <c r="E44" s="10" t="s">
        <v>335</v>
      </c>
      <c r="F44" s="10" t="s">
        <v>93</v>
      </c>
      <c r="G44" s="10" t="s">
        <v>336</v>
      </c>
      <c r="H44" s="10" t="s">
        <v>163</v>
      </c>
      <c r="I44" s="10" t="s">
        <v>164</v>
      </c>
      <c r="J44" s="10" t="s">
        <v>337</v>
      </c>
      <c r="K44" s="16" t="s">
        <v>117</v>
      </c>
      <c r="L44" s="13" t="s">
        <v>10</v>
      </c>
      <c r="M44" s="10"/>
      <c r="N44" s="10"/>
    </row>
    <row r="45" customFormat="false" ht="23.85" hidden="false" customHeight="false" outlineLevel="0" collapsed="false">
      <c r="A45" s="9" t="s">
        <v>338</v>
      </c>
      <c r="B45" s="10" t="s">
        <v>20</v>
      </c>
      <c r="C45" s="10" t="s">
        <v>62</v>
      </c>
      <c r="D45" s="17" t="s">
        <v>7</v>
      </c>
      <c r="E45" s="10" t="s">
        <v>339</v>
      </c>
      <c r="F45" s="10" t="s">
        <v>93</v>
      </c>
      <c r="G45" s="10" t="s">
        <v>340</v>
      </c>
      <c r="H45" s="10" t="s">
        <v>163</v>
      </c>
      <c r="I45" s="10" t="s">
        <v>164</v>
      </c>
      <c r="J45" s="10" t="s">
        <v>341</v>
      </c>
      <c r="K45" s="18" t="s">
        <v>342</v>
      </c>
      <c r="L45" s="13" t="s">
        <v>10</v>
      </c>
      <c r="M45" s="10"/>
      <c r="N45" s="10"/>
    </row>
    <row r="46" customFormat="false" ht="23.85" hidden="false" customHeight="false" outlineLevel="0" collapsed="false">
      <c r="A46" s="9" t="s">
        <v>343</v>
      </c>
      <c r="B46" s="10" t="s">
        <v>20</v>
      </c>
      <c r="C46" s="10" t="s">
        <v>62</v>
      </c>
      <c r="D46" s="17" t="s">
        <v>7</v>
      </c>
      <c r="E46" s="10" t="s">
        <v>344</v>
      </c>
      <c r="F46" s="10" t="s">
        <v>93</v>
      </c>
      <c r="G46" s="10" t="s">
        <v>345</v>
      </c>
      <c r="H46" s="10" t="s">
        <v>163</v>
      </c>
      <c r="I46" s="10" t="s">
        <v>346</v>
      </c>
      <c r="J46" s="10" t="s">
        <v>347</v>
      </c>
      <c r="K46" s="18" t="s">
        <v>342</v>
      </c>
      <c r="L46" s="13" t="s">
        <v>10</v>
      </c>
      <c r="M46" s="10"/>
      <c r="N46" s="10"/>
    </row>
    <row r="47" customFormat="false" ht="23.85" hidden="false" customHeight="false" outlineLevel="0" collapsed="false">
      <c r="A47" s="9" t="s">
        <v>348</v>
      </c>
      <c r="B47" s="10" t="s">
        <v>20</v>
      </c>
      <c r="C47" s="10" t="s">
        <v>62</v>
      </c>
      <c r="D47" s="17" t="s">
        <v>7</v>
      </c>
      <c r="E47" s="10" t="s">
        <v>349</v>
      </c>
      <c r="F47" s="10" t="s">
        <v>350</v>
      </c>
      <c r="G47" s="10" t="s">
        <v>351</v>
      </c>
      <c r="H47" s="10" t="s">
        <v>352</v>
      </c>
      <c r="I47" s="10" t="s">
        <v>353</v>
      </c>
      <c r="J47" s="10" t="s">
        <v>354</v>
      </c>
      <c r="K47" s="16" t="s">
        <v>117</v>
      </c>
      <c r="L47" s="13" t="s">
        <v>10</v>
      </c>
      <c r="M47" s="10"/>
      <c r="N47" s="10"/>
    </row>
    <row r="48" customFormat="false" ht="23.85" hidden="false" customHeight="false" outlineLevel="0" collapsed="false">
      <c r="A48" s="9" t="s">
        <v>355</v>
      </c>
      <c r="B48" s="10" t="s">
        <v>22</v>
      </c>
      <c r="C48" s="10" t="s">
        <v>62</v>
      </c>
      <c r="D48" s="11" t="s">
        <v>5</v>
      </c>
      <c r="E48" s="10" t="s">
        <v>356</v>
      </c>
      <c r="F48" s="10" t="s">
        <v>287</v>
      </c>
      <c r="G48" s="10" t="s">
        <v>357</v>
      </c>
      <c r="H48" s="10" t="s">
        <v>358</v>
      </c>
      <c r="I48" s="10" t="s">
        <v>359</v>
      </c>
      <c r="J48" s="10" t="s">
        <v>360</v>
      </c>
      <c r="K48" s="15" t="s">
        <v>90</v>
      </c>
      <c r="L48" s="13" t="s">
        <v>10</v>
      </c>
      <c r="M48" s="10"/>
      <c r="N48" s="10"/>
    </row>
    <row r="49" customFormat="false" ht="23.85" hidden="false" customHeight="false" outlineLevel="0" collapsed="false">
      <c r="A49" s="9" t="s">
        <v>361</v>
      </c>
      <c r="B49" s="10" t="s">
        <v>22</v>
      </c>
      <c r="C49" s="10" t="s">
        <v>62</v>
      </c>
      <c r="D49" s="11" t="s">
        <v>5</v>
      </c>
      <c r="E49" s="10" t="s">
        <v>362</v>
      </c>
      <c r="F49" s="10" t="s">
        <v>363</v>
      </c>
      <c r="G49" s="10" t="s">
        <v>364</v>
      </c>
      <c r="H49" s="10" t="s">
        <v>365</v>
      </c>
      <c r="I49" s="10" t="s">
        <v>366</v>
      </c>
      <c r="J49" s="10" t="s">
        <v>367</v>
      </c>
      <c r="K49" s="16" t="s">
        <v>117</v>
      </c>
      <c r="L49" s="13" t="s">
        <v>10</v>
      </c>
      <c r="M49" s="10"/>
      <c r="N49" s="10"/>
    </row>
    <row r="50" customFormat="false" ht="15" hidden="false" customHeight="false" outlineLevel="0" collapsed="false">
      <c r="A50" s="9" t="s">
        <v>368</v>
      </c>
      <c r="B50" s="10" t="s">
        <v>22</v>
      </c>
      <c r="C50" s="10" t="s">
        <v>62</v>
      </c>
      <c r="D50" s="11" t="s">
        <v>5</v>
      </c>
      <c r="E50" s="10" t="s">
        <v>369</v>
      </c>
      <c r="F50" s="10" t="s">
        <v>370</v>
      </c>
      <c r="G50" s="10" t="s">
        <v>371</v>
      </c>
      <c r="H50" s="10" t="s">
        <v>372</v>
      </c>
      <c r="I50" s="10" t="s">
        <v>373</v>
      </c>
      <c r="J50" s="10" t="s">
        <v>374</v>
      </c>
      <c r="K50" s="15" t="s">
        <v>90</v>
      </c>
      <c r="L50" s="13" t="s">
        <v>10</v>
      </c>
      <c r="M50" s="10"/>
      <c r="N50" s="10"/>
    </row>
    <row r="51" customFormat="false" ht="23.85" hidden="false" customHeight="false" outlineLevel="0" collapsed="false">
      <c r="A51" s="9" t="s">
        <v>375</v>
      </c>
      <c r="B51" s="10" t="s">
        <v>22</v>
      </c>
      <c r="C51" s="10" t="s">
        <v>62</v>
      </c>
      <c r="D51" s="14" t="s">
        <v>6</v>
      </c>
      <c r="E51" s="10" t="s">
        <v>376</v>
      </c>
      <c r="F51" s="10" t="s">
        <v>93</v>
      </c>
      <c r="G51" s="10" t="s">
        <v>377</v>
      </c>
      <c r="H51" s="10" t="s">
        <v>378</v>
      </c>
      <c r="I51" s="10" t="s">
        <v>379</v>
      </c>
      <c r="J51" s="10" t="s">
        <v>380</v>
      </c>
      <c r="K51" s="15" t="s">
        <v>90</v>
      </c>
      <c r="L51" s="13" t="s">
        <v>10</v>
      </c>
      <c r="M51" s="10"/>
      <c r="N51" s="10"/>
    </row>
    <row r="52" customFormat="false" ht="15" hidden="false" customHeight="false" outlineLevel="0" collapsed="false">
      <c r="A52" s="9" t="s">
        <v>381</v>
      </c>
      <c r="B52" s="10" t="s">
        <v>22</v>
      </c>
      <c r="C52" s="10" t="s">
        <v>62</v>
      </c>
      <c r="D52" s="14" t="s">
        <v>6</v>
      </c>
      <c r="E52" s="10" t="s">
        <v>382</v>
      </c>
      <c r="F52" s="10" t="s">
        <v>93</v>
      </c>
      <c r="G52" s="10" t="s">
        <v>383</v>
      </c>
      <c r="H52" s="10" t="s">
        <v>384</v>
      </c>
      <c r="I52" s="10" t="s">
        <v>164</v>
      </c>
      <c r="J52" s="10" t="s">
        <v>385</v>
      </c>
      <c r="K52" s="15" t="s">
        <v>90</v>
      </c>
      <c r="L52" s="13" t="s">
        <v>10</v>
      </c>
      <c r="M52" s="10"/>
      <c r="N52" s="10"/>
    </row>
    <row r="53" customFormat="false" ht="15" hidden="false" customHeight="false" outlineLevel="0" collapsed="false">
      <c r="A53" s="9" t="s">
        <v>386</v>
      </c>
      <c r="B53" s="10" t="s">
        <v>22</v>
      </c>
      <c r="C53" s="10" t="s">
        <v>62</v>
      </c>
      <c r="D53" s="14" t="s">
        <v>6</v>
      </c>
      <c r="E53" s="10" t="s">
        <v>387</v>
      </c>
      <c r="F53" s="10" t="s">
        <v>93</v>
      </c>
      <c r="G53" s="10" t="s">
        <v>388</v>
      </c>
      <c r="H53" s="10" t="s">
        <v>324</v>
      </c>
      <c r="I53" s="10" t="s">
        <v>389</v>
      </c>
      <c r="J53" s="10" t="s">
        <v>390</v>
      </c>
      <c r="K53" s="16" t="s">
        <v>117</v>
      </c>
      <c r="L53" s="13" t="s">
        <v>10</v>
      </c>
      <c r="M53" s="10"/>
      <c r="N53" s="10"/>
    </row>
    <row r="54" customFormat="false" ht="23.85" hidden="false" customHeight="false" outlineLevel="0" collapsed="false">
      <c r="A54" s="9" t="s">
        <v>391</v>
      </c>
      <c r="B54" s="10" t="s">
        <v>22</v>
      </c>
      <c r="C54" s="10" t="s">
        <v>62</v>
      </c>
      <c r="D54" s="17" t="s">
        <v>7</v>
      </c>
      <c r="E54" s="10" t="s">
        <v>392</v>
      </c>
      <c r="F54" s="10" t="s">
        <v>393</v>
      </c>
      <c r="G54" s="10" t="s">
        <v>394</v>
      </c>
      <c r="H54" s="10" t="s">
        <v>395</v>
      </c>
      <c r="I54" s="10" t="s">
        <v>396</v>
      </c>
      <c r="J54" s="10" t="s">
        <v>397</v>
      </c>
      <c r="K54" s="16" t="s">
        <v>117</v>
      </c>
      <c r="L54" s="13" t="s">
        <v>10</v>
      </c>
      <c r="M54" s="10"/>
      <c r="N54" s="10"/>
    </row>
    <row r="55" customFormat="false" ht="23.85" hidden="false" customHeight="false" outlineLevel="0" collapsed="false">
      <c r="A55" s="9" t="s">
        <v>398</v>
      </c>
      <c r="B55" s="10" t="s">
        <v>22</v>
      </c>
      <c r="C55" s="10" t="s">
        <v>62</v>
      </c>
      <c r="D55" s="17" t="s">
        <v>7</v>
      </c>
      <c r="E55" s="10" t="s">
        <v>399</v>
      </c>
      <c r="F55" s="10" t="s">
        <v>93</v>
      </c>
      <c r="G55" s="10" t="s">
        <v>400</v>
      </c>
      <c r="H55" s="10" t="s">
        <v>401</v>
      </c>
      <c r="I55" s="10" t="s">
        <v>402</v>
      </c>
      <c r="J55" s="10" t="s">
        <v>403</v>
      </c>
      <c r="K55" s="16" t="s">
        <v>117</v>
      </c>
      <c r="L55" s="13" t="s">
        <v>10</v>
      </c>
      <c r="M55" s="10"/>
      <c r="N55" s="10"/>
    </row>
    <row r="56" customFormat="false" ht="23.85" hidden="false" customHeight="false" outlineLevel="0" collapsed="false">
      <c r="A56" s="9" t="s">
        <v>404</v>
      </c>
      <c r="B56" s="10" t="s">
        <v>22</v>
      </c>
      <c r="C56" s="10" t="s">
        <v>62</v>
      </c>
      <c r="D56" s="17" t="s">
        <v>7</v>
      </c>
      <c r="E56" s="10" t="s">
        <v>405</v>
      </c>
      <c r="F56" s="10" t="s">
        <v>406</v>
      </c>
      <c r="G56" s="10" t="s">
        <v>407</v>
      </c>
      <c r="H56" s="10" t="s">
        <v>408</v>
      </c>
      <c r="I56" s="10" t="s">
        <v>409</v>
      </c>
      <c r="J56" s="10" t="s">
        <v>410</v>
      </c>
      <c r="K56" s="12" t="s">
        <v>69</v>
      </c>
      <c r="L56" s="13" t="s">
        <v>10</v>
      </c>
      <c r="M56" s="10"/>
      <c r="N56" s="10"/>
    </row>
    <row r="57" customFormat="false" ht="15" hidden="false" customHeight="false" outlineLevel="0" collapsed="false">
      <c r="A57" s="9" t="s">
        <v>411</v>
      </c>
      <c r="B57" s="10" t="s">
        <v>24</v>
      </c>
      <c r="C57" s="10" t="s">
        <v>62</v>
      </c>
      <c r="D57" s="11" t="s">
        <v>5</v>
      </c>
      <c r="E57" s="10" t="s">
        <v>412</v>
      </c>
      <c r="F57" s="10" t="s">
        <v>413</v>
      </c>
      <c r="G57" s="10" t="s">
        <v>414</v>
      </c>
      <c r="H57" s="10" t="s">
        <v>415</v>
      </c>
      <c r="I57" s="10" t="s">
        <v>416</v>
      </c>
      <c r="J57" s="10" t="s">
        <v>417</v>
      </c>
      <c r="K57" s="12" t="s">
        <v>69</v>
      </c>
      <c r="L57" s="13" t="s">
        <v>10</v>
      </c>
      <c r="M57" s="10"/>
      <c r="N57" s="10"/>
    </row>
    <row r="58" customFormat="false" ht="15" hidden="false" customHeight="false" outlineLevel="0" collapsed="false">
      <c r="A58" s="9" t="s">
        <v>418</v>
      </c>
      <c r="B58" s="10" t="s">
        <v>24</v>
      </c>
      <c r="C58" s="10" t="s">
        <v>62</v>
      </c>
      <c r="D58" s="11" t="s">
        <v>5</v>
      </c>
      <c r="E58" s="10" t="s">
        <v>419</v>
      </c>
      <c r="F58" s="10" t="s">
        <v>420</v>
      </c>
      <c r="G58" s="10" t="s">
        <v>421</v>
      </c>
      <c r="H58" s="10" t="s">
        <v>422</v>
      </c>
      <c r="I58" s="10" t="s">
        <v>423</v>
      </c>
      <c r="J58" s="10" t="s">
        <v>424</v>
      </c>
      <c r="K58" s="15" t="s">
        <v>90</v>
      </c>
      <c r="L58" s="13" t="s">
        <v>10</v>
      </c>
      <c r="M58" s="10"/>
      <c r="N58" s="10"/>
    </row>
    <row r="59" customFormat="false" ht="15" hidden="false" customHeight="false" outlineLevel="0" collapsed="false">
      <c r="A59" s="9" t="s">
        <v>425</v>
      </c>
      <c r="B59" s="10" t="s">
        <v>24</v>
      </c>
      <c r="C59" s="10" t="s">
        <v>62</v>
      </c>
      <c r="D59" s="11" t="s">
        <v>5</v>
      </c>
      <c r="E59" s="10" t="s">
        <v>426</v>
      </c>
      <c r="F59" s="10" t="s">
        <v>427</v>
      </c>
      <c r="G59" s="10" t="s">
        <v>428</v>
      </c>
      <c r="H59" s="10" t="s">
        <v>429</v>
      </c>
      <c r="I59" s="10" t="s">
        <v>430</v>
      </c>
      <c r="J59" s="10" t="s">
        <v>431</v>
      </c>
      <c r="K59" s="15" t="s">
        <v>90</v>
      </c>
      <c r="L59" s="13" t="s">
        <v>10</v>
      </c>
      <c r="M59" s="10"/>
      <c r="N59" s="10"/>
    </row>
    <row r="60" customFormat="false" ht="15" hidden="false" customHeight="false" outlineLevel="0" collapsed="false">
      <c r="A60" s="9" t="s">
        <v>432</v>
      </c>
      <c r="B60" s="10" t="s">
        <v>24</v>
      </c>
      <c r="C60" s="10" t="s">
        <v>62</v>
      </c>
      <c r="D60" s="14" t="s">
        <v>6</v>
      </c>
      <c r="E60" s="10" t="s">
        <v>382</v>
      </c>
      <c r="F60" s="10" t="s">
        <v>93</v>
      </c>
      <c r="G60" s="10" t="s">
        <v>433</v>
      </c>
      <c r="H60" s="10" t="s">
        <v>434</v>
      </c>
      <c r="I60" s="10" t="s">
        <v>435</v>
      </c>
      <c r="J60" s="10" t="s">
        <v>385</v>
      </c>
      <c r="K60" s="15" t="s">
        <v>90</v>
      </c>
      <c r="L60" s="13" t="s">
        <v>10</v>
      </c>
      <c r="M60" s="10"/>
      <c r="N60" s="10"/>
    </row>
    <row r="61" customFormat="false" ht="15" hidden="false" customHeight="false" outlineLevel="0" collapsed="false">
      <c r="A61" s="9" t="s">
        <v>436</v>
      </c>
      <c r="B61" s="10" t="s">
        <v>24</v>
      </c>
      <c r="C61" s="10" t="s">
        <v>62</v>
      </c>
      <c r="D61" s="14" t="s">
        <v>6</v>
      </c>
      <c r="E61" s="10" t="s">
        <v>387</v>
      </c>
      <c r="F61" s="10" t="s">
        <v>93</v>
      </c>
      <c r="G61" s="10" t="s">
        <v>437</v>
      </c>
      <c r="H61" s="10" t="s">
        <v>324</v>
      </c>
      <c r="I61" s="10" t="s">
        <v>389</v>
      </c>
      <c r="J61" s="10" t="s">
        <v>390</v>
      </c>
      <c r="K61" s="16" t="s">
        <v>117</v>
      </c>
      <c r="L61" s="13" t="s">
        <v>10</v>
      </c>
      <c r="M61" s="10"/>
      <c r="N61" s="10"/>
    </row>
    <row r="62" customFormat="false" ht="23.85" hidden="false" customHeight="false" outlineLevel="0" collapsed="false">
      <c r="A62" s="9" t="s">
        <v>438</v>
      </c>
      <c r="B62" s="10" t="s">
        <v>24</v>
      </c>
      <c r="C62" s="10" t="s">
        <v>62</v>
      </c>
      <c r="D62" s="14" t="s">
        <v>6</v>
      </c>
      <c r="E62" s="10" t="s">
        <v>439</v>
      </c>
      <c r="F62" s="10" t="s">
        <v>440</v>
      </c>
      <c r="G62" s="10" t="s">
        <v>441</v>
      </c>
      <c r="H62" s="10" t="s">
        <v>163</v>
      </c>
      <c r="I62" s="10" t="s">
        <v>442</v>
      </c>
      <c r="J62" s="10" t="s">
        <v>443</v>
      </c>
      <c r="K62" s="16" t="s">
        <v>117</v>
      </c>
      <c r="L62" s="13" t="s">
        <v>10</v>
      </c>
      <c r="M62" s="10"/>
      <c r="N62" s="10"/>
    </row>
    <row r="63" customFormat="false" ht="23.85" hidden="false" customHeight="false" outlineLevel="0" collapsed="false">
      <c r="A63" s="9" t="s">
        <v>444</v>
      </c>
      <c r="B63" s="10" t="s">
        <v>24</v>
      </c>
      <c r="C63" s="10" t="s">
        <v>62</v>
      </c>
      <c r="D63" s="17" t="s">
        <v>7</v>
      </c>
      <c r="E63" s="10" t="s">
        <v>445</v>
      </c>
      <c r="F63" s="10" t="s">
        <v>446</v>
      </c>
      <c r="G63" s="10" t="s">
        <v>447</v>
      </c>
      <c r="H63" s="10" t="s">
        <v>448</v>
      </c>
      <c r="I63" s="10" t="s">
        <v>449</v>
      </c>
      <c r="J63" s="10" t="s">
        <v>450</v>
      </c>
      <c r="K63" s="15" t="s">
        <v>90</v>
      </c>
      <c r="L63" s="13" t="s">
        <v>10</v>
      </c>
      <c r="M63" s="10"/>
      <c r="N63" s="10"/>
    </row>
    <row r="64" customFormat="false" ht="23.85" hidden="false" customHeight="false" outlineLevel="0" collapsed="false">
      <c r="A64" s="9" t="s">
        <v>451</v>
      </c>
      <c r="B64" s="10" t="s">
        <v>24</v>
      </c>
      <c r="C64" s="10" t="s">
        <v>62</v>
      </c>
      <c r="D64" s="17" t="s">
        <v>7</v>
      </c>
      <c r="E64" s="10" t="s">
        <v>452</v>
      </c>
      <c r="F64" s="10" t="s">
        <v>93</v>
      </c>
      <c r="G64" s="10" t="s">
        <v>453</v>
      </c>
      <c r="H64" s="10" t="s">
        <v>454</v>
      </c>
      <c r="I64" s="10" t="s">
        <v>455</v>
      </c>
      <c r="J64" s="10" t="s">
        <v>456</v>
      </c>
      <c r="K64" s="18" t="s">
        <v>342</v>
      </c>
      <c r="L64" s="13" t="s">
        <v>10</v>
      </c>
      <c r="M64" s="10"/>
      <c r="N64" s="10"/>
    </row>
    <row r="65" customFormat="false" ht="15" hidden="false" customHeight="false" outlineLevel="0" collapsed="false">
      <c r="A65" s="9" t="s">
        <v>457</v>
      </c>
      <c r="B65" s="10" t="s">
        <v>26</v>
      </c>
      <c r="C65" s="10" t="s">
        <v>62</v>
      </c>
      <c r="D65" s="11" t="s">
        <v>5</v>
      </c>
      <c r="E65" s="10" t="s">
        <v>458</v>
      </c>
      <c r="F65" s="10" t="s">
        <v>459</v>
      </c>
      <c r="G65" s="10" t="s">
        <v>460</v>
      </c>
      <c r="H65" s="10" t="s">
        <v>461</v>
      </c>
      <c r="I65" s="10" t="s">
        <v>462</v>
      </c>
      <c r="J65" s="10" t="s">
        <v>463</v>
      </c>
      <c r="K65" s="12" t="s">
        <v>69</v>
      </c>
      <c r="L65" s="13" t="s">
        <v>10</v>
      </c>
      <c r="M65" s="10"/>
      <c r="N65" s="10"/>
    </row>
    <row r="66" customFormat="false" ht="23.85" hidden="false" customHeight="false" outlineLevel="0" collapsed="false">
      <c r="A66" s="9" t="s">
        <v>464</v>
      </c>
      <c r="B66" s="10" t="s">
        <v>26</v>
      </c>
      <c r="C66" s="10" t="s">
        <v>62</v>
      </c>
      <c r="D66" s="11" t="s">
        <v>5</v>
      </c>
      <c r="E66" s="10" t="s">
        <v>465</v>
      </c>
      <c r="F66" s="10" t="s">
        <v>301</v>
      </c>
      <c r="G66" s="10" t="s">
        <v>466</v>
      </c>
      <c r="H66" s="10" t="s">
        <v>467</v>
      </c>
      <c r="I66" s="10" t="s">
        <v>468</v>
      </c>
      <c r="J66" s="10" t="s">
        <v>469</v>
      </c>
      <c r="K66" s="15" t="s">
        <v>90</v>
      </c>
      <c r="L66" s="13" t="s">
        <v>10</v>
      </c>
      <c r="M66" s="10"/>
      <c r="N66" s="10"/>
    </row>
    <row r="67" customFormat="false" ht="23.85" hidden="false" customHeight="false" outlineLevel="0" collapsed="false">
      <c r="A67" s="9" t="s">
        <v>470</v>
      </c>
      <c r="B67" s="10" t="s">
        <v>26</v>
      </c>
      <c r="C67" s="10" t="s">
        <v>62</v>
      </c>
      <c r="D67" s="14" t="s">
        <v>6</v>
      </c>
      <c r="E67" s="10" t="s">
        <v>471</v>
      </c>
      <c r="F67" s="10" t="s">
        <v>472</v>
      </c>
      <c r="G67" s="10" t="s">
        <v>473</v>
      </c>
      <c r="H67" s="10" t="s">
        <v>474</v>
      </c>
      <c r="I67" s="10" t="s">
        <v>475</v>
      </c>
      <c r="J67" s="10" t="s">
        <v>476</v>
      </c>
      <c r="K67" s="12" t="s">
        <v>69</v>
      </c>
      <c r="L67" s="13" t="s">
        <v>10</v>
      </c>
      <c r="M67" s="10"/>
      <c r="N67" s="10"/>
    </row>
    <row r="68" customFormat="false" ht="15" hidden="false" customHeight="false" outlineLevel="0" collapsed="false">
      <c r="A68" s="9" t="s">
        <v>477</v>
      </c>
      <c r="B68" s="10" t="s">
        <v>26</v>
      </c>
      <c r="C68" s="10" t="s">
        <v>62</v>
      </c>
      <c r="D68" s="14" t="s">
        <v>6</v>
      </c>
      <c r="E68" s="10" t="s">
        <v>387</v>
      </c>
      <c r="F68" s="10" t="s">
        <v>93</v>
      </c>
      <c r="G68" s="10" t="s">
        <v>478</v>
      </c>
      <c r="H68" s="10" t="s">
        <v>324</v>
      </c>
      <c r="I68" s="10" t="s">
        <v>389</v>
      </c>
      <c r="J68" s="10" t="s">
        <v>390</v>
      </c>
      <c r="K68" s="16" t="s">
        <v>117</v>
      </c>
      <c r="L68" s="13" t="s">
        <v>10</v>
      </c>
      <c r="M68" s="10"/>
      <c r="N68" s="10"/>
    </row>
    <row r="69" customFormat="false" ht="15" hidden="false" customHeight="false" outlineLevel="0" collapsed="false">
      <c r="A69" s="9" t="s">
        <v>479</v>
      </c>
      <c r="B69" s="10" t="s">
        <v>26</v>
      </c>
      <c r="C69" s="10" t="s">
        <v>62</v>
      </c>
      <c r="D69" s="14" t="s">
        <v>6</v>
      </c>
      <c r="E69" s="10" t="s">
        <v>382</v>
      </c>
      <c r="F69" s="10" t="s">
        <v>93</v>
      </c>
      <c r="G69" s="10" t="s">
        <v>480</v>
      </c>
      <c r="H69" s="10" t="s">
        <v>163</v>
      </c>
      <c r="I69" s="10" t="s">
        <v>481</v>
      </c>
      <c r="J69" s="10" t="s">
        <v>385</v>
      </c>
      <c r="K69" s="15" t="s">
        <v>90</v>
      </c>
      <c r="L69" s="13" t="s">
        <v>10</v>
      </c>
      <c r="M69" s="10"/>
      <c r="N69" s="10"/>
    </row>
    <row r="70" customFormat="false" ht="23.85" hidden="false" customHeight="false" outlineLevel="0" collapsed="false">
      <c r="A70" s="9" t="s">
        <v>482</v>
      </c>
      <c r="B70" s="10" t="s">
        <v>26</v>
      </c>
      <c r="C70" s="10" t="s">
        <v>62</v>
      </c>
      <c r="D70" s="17" t="s">
        <v>7</v>
      </c>
      <c r="E70" s="10" t="s">
        <v>483</v>
      </c>
      <c r="F70" s="10" t="s">
        <v>484</v>
      </c>
      <c r="G70" s="10" t="s">
        <v>485</v>
      </c>
      <c r="H70" s="10" t="s">
        <v>486</v>
      </c>
      <c r="I70" s="10" t="s">
        <v>487</v>
      </c>
      <c r="J70" s="10" t="s">
        <v>488</v>
      </c>
      <c r="K70" s="12" t="s">
        <v>69</v>
      </c>
      <c r="L70" s="13" t="s">
        <v>10</v>
      </c>
      <c r="M70" s="10"/>
      <c r="N70" s="10"/>
    </row>
    <row r="71" customFormat="false" ht="23.85" hidden="false" customHeight="false" outlineLevel="0" collapsed="false">
      <c r="A71" s="9" t="s">
        <v>489</v>
      </c>
      <c r="B71" s="10" t="s">
        <v>26</v>
      </c>
      <c r="C71" s="10" t="s">
        <v>62</v>
      </c>
      <c r="D71" s="17" t="s">
        <v>7</v>
      </c>
      <c r="E71" s="10" t="s">
        <v>490</v>
      </c>
      <c r="F71" s="10" t="s">
        <v>491</v>
      </c>
      <c r="G71" s="10" t="s">
        <v>460</v>
      </c>
      <c r="H71" s="10" t="s">
        <v>492</v>
      </c>
      <c r="I71" s="10" t="s">
        <v>493</v>
      </c>
      <c r="J71" s="10" t="s">
        <v>494</v>
      </c>
      <c r="K71" s="12" t="s">
        <v>69</v>
      </c>
      <c r="L71" s="13" t="s">
        <v>10</v>
      </c>
      <c r="M71" s="10"/>
      <c r="N71" s="10"/>
    </row>
    <row r="72" customFormat="false" ht="23.85" hidden="false" customHeight="false" outlineLevel="0" collapsed="false">
      <c r="A72" s="9" t="s">
        <v>495</v>
      </c>
      <c r="B72" s="10" t="s">
        <v>26</v>
      </c>
      <c r="C72" s="10" t="s">
        <v>62</v>
      </c>
      <c r="D72" s="17" t="s">
        <v>7</v>
      </c>
      <c r="E72" s="10" t="s">
        <v>496</v>
      </c>
      <c r="F72" s="10" t="s">
        <v>497</v>
      </c>
      <c r="G72" s="10" t="s">
        <v>498</v>
      </c>
      <c r="H72" s="10" t="s">
        <v>499</v>
      </c>
      <c r="I72" s="10" t="s">
        <v>500</v>
      </c>
      <c r="J72" s="10" t="s">
        <v>501</v>
      </c>
      <c r="K72" s="12" t="s">
        <v>69</v>
      </c>
      <c r="L72" s="13" t="s">
        <v>10</v>
      </c>
      <c r="M72" s="10"/>
      <c r="N72" s="10"/>
    </row>
    <row r="73" customFormat="false" ht="23.85" hidden="false" customHeight="false" outlineLevel="0" collapsed="false">
      <c r="A73" s="9" t="s">
        <v>502</v>
      </c>
      <c r="B73" s="10" t="s">
        <v>26</v>
      </c>
      <c r="C73" s="10" t="s">
        <v>62</v>
      </c>
      <c r="D73" s="17" t="s">
        <v>7</v>
      </c>
      <c r="E73" s="10" t="s">
        <v>503</v>
      </c>
      <c r="F73" s="10" t="s">
        <v>504</v>
      </c>
      <c r="G73" s="10" t="s">
        <v>505</v>
      </c>
      <c r="H73" s="10" t="s">
        <v>506</v>
      </c>
      <c r="I73" s="10" t="s">
        <v>507</v>
      </c>
      <c r="J73" s="10" t="s">
        <v>508</v>
      </c>
      <c r="K73" s="15" t="s">
        <v>90</v>
      </c>
      <c r="L73" s="13" t="s">
        <v>10</v>
      </c>
      <c r="M73" s="10"/>
      <c r="N73" s="10"/>
    </row>
    <row r="74" customFormat="false" ht="15" hidden="false" customHeight="false" outlineLevel="0" collapsed="false">
      <c r="A74" s="9" t="s">
        <v>509</v>
      </c>
      <c r="B74" s="10" t="s">
        <v>26</v>
      </c>
      <c r="C74" s="10" t="s">
        <v>62</v>
      </c>
      <c r="D74" s="17" t="s">
        <v>7</v>
      </c>
      <c r="E74" s="10" t="s">
        <v>510</v>
      </c>
      <c r="F74" s="10" t="s">
        <v>511</v>
      </c>
      <c r="G74" s="10" t="s">
        <v>498</v>
      </c>
      <c r="H74" s="10" t="s">
        <v>512</v>
      </c>
      <c r="I74" s="10" t="s">
        <v>513</v>
      </c>
      <c r="J74" s="10" t="s">
        <v>514</v>
      </c>
      <c r="K74" s="12" t="s">
        <v>69</v>
      </c>
      <c r="L74" s="13" t="s">
        <v>10</v>
      </c>
      <c r="M74" s="10"/>
      <c r="N74" s="10"/>
    </row>
    <row r="75" customFormat="false" ht="23.85" hidden="false" customHeight="false" outlineLevel="0" collapsed="false">
      <c r="A75" s="9" t="s">
        <v>515</v>
      </c>
      <c r="B75" s="10" t="s">
        <v>26</v>
      </c>
      <c r="C75" s="10" t="s">
        <v>62</v>
      </c>
      <c r="D75" s="17" t="s">
        <v>7</v>
      </c>
      <c r="E75" s="10" t="s">
        <v>516</v>
      </c>
      <c r="F75" s="10" t="s">
        <v>517</v>
      </c>
      <c r="G75" s="10" t="s">
        <v>518</v>
      </c>
      <c r="H75" s="10" t="s">
        <v>519</v>
      </c>
      <c r="I75" s="10" t="s">
        <v>520</v>
      </c>
      <c r="J75" s="10" t="s">
        <v>521</v>
      </c>
      <c r="K75" s="12" t="s">
        <v>69</v>
      </c>
      <c r="L75" s="13" t="s">
        <v>10</v>
      </c>
      <c r="M75" s="10"/>
      <c r="N75" s="10"/>
    </row>
    <row r="76" customFormat="false" ht="23.85" hidden="false" customHeight="false" outlineLevel="0" collapsed="false">
      <c r="A76" s="9" t="s">
        <v>522</v>
      </c>
      <c r="B76" s="10" t="s">
        <v>26</v>
      </c>
      <c r="C76" s="10" t="s">
        <v>62</v>
      </c>
      <c r="D76" s="17" t="s">
        <v>7</v>
      </c>
      <c r="E76" s="10" t="s">
        <v>523</v>
      </c>
      <c r="F76" s="10" t="s">
        <v>524</v>
      </c>
      <c r="G76" s="10" t="s">
        <v>525</v>
      </c>
      <c r="H76" s="10" t="s">
        <v>526</v>
      </c>
      <c r="I76" s="10" t="s">
        <v>527</v>
      </c>
      <c r="J76" s="10" t="s">
        <v>528</v>
      </c>
      <c r="K76" s="12" t="s">
        <v>69</v>
      </c>
      <c r="L76" s="13" t="s">
        <v>10</v>
      </c>
      <c r="M76" s="10"/>
      <c r="N76" s="10"/>
    </row>
    <row r="77" customFormat="false" ht="23.85" hidden="false" customHeight="false" outlineLevel="0" collapsed="false">
      <c r="A77" s="9" t="s">
        <v>529</v>
      </c>
      <c r="B77" s="10" t="s">
        <v>26</v>
      </c>
      <c r="C77" s="10" t="s">
        <v>62</v>
      </c>
      <c r="D77" s="17" t="s">
        <v>7</v>
      </c>
      <c r="E77" s="10" t="s">
        <v>530</v>
      </c>
      <c r="F77" s="10" t="s">
        <v>531</v>
      </c>
      <c r="G77" s="10" t="s">
        <v>498</v>
      </c>
      <c r="H77" s="10" t="s">
        <v>532</v>
      </c>
      <c r="I77" s="10" t="s">
        <v>533</v>
      </c>
      <c r="J77" s="10" t="s">
        <v>534</v>
      </c>
      <c r="K77" s="16" t="s">
        <v>117</v>
      </c>
      <c r="L77" s="13" t="s">
        <v>10</v>
      </c>
      <c r="M77" s="10"/>
      <c r="N77" s="10"/>
    </row>
    <row r="78" customFormat="false" ht="23.85" hidden="false" customHeight="false" outlineLevel="0" collapsed="false">
      <c r="A78" s="9" t="s">
        <v>535</v>
      </c>
      <c r="B78" s="10" t="s">
        <v>28</v>
      </c>
      <c r="C78" s="10" t="s">
        <v>62</v>
      </c>
      <c r="D78" s="11" t="s">
        <v>5</v>
      </c>
      <c r="E78" s="10" t="s">
        <v>536</v>
      </c>
      <c r="F78" s="10" t="s">
        <v>459</v>
      </c>
      <c r="G78" s="10" t="s">
        <v>537</v>
      </c>
      <c r="H78" s="10" t="s">
        <v>538</v>
      </c>
      <c r="I78" s="10" t="s">
        <v>539</v>
      </c>
      <c r="J78" s="10" t="s">
        <v>540</v>
      </c>
      <c r="K78" s="15" t="s">
        <v>90</v>
      </c>
      <c r="L78" s="13" t="s">
        <v>10</v>
      </c>
      <c r="M78" s="10"/>
      <c r="N78" s="10"/>
    </row>
    <row r="79" customFormat="false" ht="15" hidden="false" customHeight="false" outlineLevel="0" collapsed="false">
      <c r="A79" s="9" t="s">
        <v>541</v>
      </c>
      <c r="B79" s="10" t="s">
        <v>28</v>
      </c>
      <c r="C79" s="10" t="s">
        <v>62</v>
      </c>
      <c r="D79" s="11" t="s">
        <v>5</v>
      </c>
      <c r="E79" s="10" t="s">
        <v>542</v>
      </c>
      <c r="F79" s="10" t="s">
        <v>459</v>
      </c>
      <c r="G79" s="10" t="s">
        <v>543</v>
      </c>
      <c r="H79" s="10" t="s">
        <v>544</v>
      </c>
      <c r="I79" s="10" t="s">
        <v>545</v>
      </c>
      <c r="J79" s="10" t="s">
        <v>546</v>
      </c>
      <c r="K79" s="15" t="s">
        <v>90</v>
      </c>
      <c r="L79" s="13" t="s">
        <v>10</v>
      </c>
      <c r="M79" s="10"/>
      <c r="N79" s="10"/>
    </row>
    <row r="80" customFormat="false" ht="15" hidden="false" customHeight="false" outlineLevel="0" collapsed="false">
      <c r="A80" s="9" t="s">
        <v>547</v>
      </c>
      <c r="B80" s="10" t="s">
        <v>28</v>
      </c>
      <c r="C80" s="10" t="s">
        <v>62</v>
      </c>
      <c r="D80" s="14" t="s">
        <v>6</v>
      </c>
      <c r="E80" s="10" t="s">
        <v>548</v>
      </c>
      <c r="F80" s="10" t="s">
        <v>93</v>
      </c>
      <c r="G80" s="10" t="s">
        <v>549</v>
      </c>
      <c r="H80" s="10" t="s">
        <v>163</v>
      </c>
      <c r="I80" s="10" t="s">
        <v>195</v>
      </c>
      <c r="J80" s="10" t="s">
        <v>550</v>
      </c>
      <c r="K80" s="16" t="s">
        <v>117</v>
      </c>
      <c r="L80" s="13" t="s">
        <v>10</v>
      </c>
      <c r="M80" s="10"/>
      <c r="N80" s="10"/>
    </row>
    <row r="81" customFormat="false" ht="15" hidden="false" customHeight="false" outlineLevel="0" collapsed="false">
      <c r="A81" s="9" t="s">
        <v>551</v>
      </c>
      <c r="B81" s="10" t="s">
        <v>28</v>
      </c>
      <c r="C81" s="10" t="s">
        <v>62</v>
      </c>
      <c r="D81" s="14" t="s">
        <v>6</v>
      </c>
      <c r="E81" s="10" t="s">
        <v>552</v>
      </c>
      <c r="F81" s="10" t="s">
        <v>553</v>
      </c>
      <c r="G81" s="10" t="s">
        <v>554</v>
      </c>
      <c r="H81" s="10" t="s">
        <v>555</v>
      </c>
      <c r="I81" s="10" t="s">
        <v>556</v>
      </c>
      <c r="J81" s="10" t="s">
        <v>557</v>
      </c>
      <c r="K81" s="12" t="s">
        <v>69</v>
      </c>
      <c r="L81" s="13" t="s">
        <v>10</v>
      </c>
      <c r="M81" s="10"/>
      <c r="N81" s="10"/>
    </row>
    <row r="82" customFormat="false" ht="23.85" hidden="false" customHeight="false" outlineLevel="0" collapsed="false">
      <c r="A82" s="9" t="s">
        <v>558</v>
      </c>
      <c r="B82" s="10" t="s">
        <v>28</v>
      </c>
      <c r="C82" s="10" t="s">
        <v>62</v>
      </c>
      <c r="D82" s="14" t="s">
        <v>6</v>
      </c>
      <c r="E82" s="10" t="s">
        <v>559</v>
      </c>
      <c r="F82" s="10" t="s">
        <v>93</v>
      </c>
      <c r="G82" s="10" t="s">
        <v>560</v>
      </c>
      <c r="H82" s="10" t="s">
        <v>561</v>
      </c>
      <c r="I82" s="10" t="s">
        <v>562</v>
      </c>
      <c r="J82" s="10" t="s">
        <v>563</v>
      </c>
      <c r="K82" s="18" t="s">
        <v>342</v>
      </c>
      <c r="L82" s="13" t="s">
        <v>10</v>
      </c>
      <c r="M82" s="10"/>
      <c r="N82" s="10"/>
    </row>
    <row r="83" customFormat="false" ht="15" hidden="false" customHeight="false" outlineLevel="0" collapsed="false">
      <c r="A83" s="9" t="s">
        <v>564</v>
      </c>
      <c r="B83" s="10" t="s">
        <v>28</v>
      </c>
      <c r="C83" s="10" t="s">
        <v>62</v>
      </c>
      <c r="D83" s="17" t="s">
        <v>7</v>
      </c>
      <c r="E83" s="10" t="s">
        <v>565</v>
      </c>
      <c r="F83" s="10" t="s">
        <v>566</v>
      </c>
      <c r="G83" s="10" t="s">
        <v>447</v>
      </c>
      <c r="H83" s="10" t="s">
        <v>567</v>
      </c>
      <c r="I83" s="10" t="s">
        <v>568</v>
      </c>
      <c r="J83" s="10" t="s">
        <v>569</v>
      </c>
      <c r="K83" s="16" t="s">
        <v>117</v>
      </c>
      <c r="L83" s="13" t="s">
        <v>10</v>
      </c>
      <c r="M83" s="10"/>
      <c r="N83" s="10"/>
    </row>
    <row r="84" customFormat="false" ht="23.85" hidden="false" customHeight="false" outlineLevel="0" collapsed="false">
      <c r="A84" s="9" t="s">
        <v>570</v>
      </c>
      <c r="B84" s="10" t="s">
        <v>28</v>
      </c>
      <c r="C84" s="10" t="s">
        <v>62</v>
      </c>
      <c r="D84" s="17" t="s">
        <v>7</v>
      </c>
      <c r="E84" s="10" t="s">
        <v>571</v>
      </c>
      <c r="F84" s="10" t="s">
        <v>572</v>
      </c>
      <c r="G84" s="10" t="s">
        <v>573</v>
      </c>
      <c r="H84" s="10" t="s">
        <v>574</v>
      </c>
      <c r="I84" s="10" t="s">
        <v>575</v>
      </c>
      <c r="J84" s="10" t="s">
        <v>576</v>
      </c>
      <c r="K84" s="16" t="s">
        <v>117</v>
      </c>
      <c r="L84" s="13" t="s">
        <v>10</v>
      </c>
      <c r="M84" s="10"/>
      <c r="N84" s="10"/>
    </row>
    <row r="85" customFormat="false" ht="23.85" hidden="false" customHeight="false" outlineLevel="0" collapsed="false">
      <c r="A85" s="9" t="s">
        <v>577</v>
      </c>
      <c r="B85" s="10" t="s">
        <v>30</v>
      </c>
      <c r="C85" s="10" t="s">
        <v>62</v>
      </c>
      <c r="D85" s="11" t="s">
        <v>5</v>
      </c>
      <c r="E85" s="10" t="s">
        <v>578</v>
      </c>
      <c r="F85" s="10" t="s">
        <v>579</v>
      </c>
      <c r="G85" s="10" t="s">
        <v>580</v>
      </c>
      <c r="H85" s="10" t="s">
        <v>581</v>
      </c>
      <c r="I85" s="10" t="s">
        <v>582</v>
      </c>
      <c r="J85" s="10" t="s">
        <v>583</v>
      </c>
      <c r="K85" s="15" t="s">
        <v>90</v>
      </c>
      <c r="L85" s="13" t="s">
        <v>10</v>
      </c>
      <c r="M85" s="10"/>
      <c r="N85" s="10"/>
    </row>
    <row r="86" customFormat="false" ht="23.85" hidden="false" customHeight="false" outlineLevel="0" collapsed="false">
      <c r="A86" s="9" t="s">
        <v>584</v>
      </c>
      <c r="B86" s="10" t="s">
        <v>30</v>
      </c>
      <c r="C86" s="10" t="s">
        <v>62</v>
      </c>
      <c r="D86" s="11" t="s">
        <v>5</v>
      </c>
      <c r="E86" s="10" t="s">
        <v>585</v>
      </c>
      <c r="F86" s="10" t="s">
        <v>586</v>
      </c>
      <c r="G86" s="10" t="s">
        <v>587</v>
      </c>
      <c r="H86" s="10" t="s">
        <v>588</v>
      </c>
      <c r="I86" s="10" t="s">
        <v>589</v>
      </c>
      <c r="J86" s="10" t="s">
        <v>590</v>
      </c>
      <c r="K86" s="16" t="s">
        <v>117</v>
      </c>
      <c r="L86" s="13" t="s">
        <v>10</v>
      </c>
      <c r="M86" s="10"/>
      <c r="N86" s="10"/>
    </row>
    <row r="87" customFormat="false" ht="23.85" hidden="false" customHeight="false" outlineLevel="0" collapsed="false">
      <c r="A87" s="9" t="s">
        <v>591</v>
      </c>
      <c r="B87" s="10" t="s">
        <v>30</v>
      </c>
      <c r="C87" s="10" t="s">
        <v>62</v>
      </c>
      <c r="D87" s="11" t="s">
        <v>5</v>
      </c>
      <c r="E87" s="10" t="s">
        <v>592</v>
      </c>
      <c r="F87" s="10" t="s">
        <v>593</v>
      </c>
      <c r="G87" s="10" t="s">
        <v>594</v>
      </c>
      <c r="H87" s="10" t="s">
        <v>595</v>
      </c>
      <c r="I87" s="10" t="s">
        <v>596</v>
      </c>
      <c r="J87" s="10" t="s">
        <v>597</v>
      </c>
      <c r="K87" s="16" t="s">
        <v>117</v>
      </c>
      <c r="L87" s="13" t="s">
        <v>10</v>
      </c>
      <c r="M87" s="10"/>
      <c r="N87" s="10"/>
    </row>
    <row r="88" customFormat="false" ht="23.85" hidden="false" customHeight="false" outlineLevel="0" collapsed="false">
      <c r="A88" s="9" t="s">
        <v>598</v>
      </c>
      <c r="B88" s="10" t="s">
        <v>30</v>
      </c>
      <c r="C88" s="10" t="s">
        <v>62</v>
      </c>
      <c r="D88" s="11" t="s">
        <v>5</v>
      </c>
      <c r="E88" s="10" t="s">
        <v>599</v>
      </c>
      <c r="F88" s="10" t="s">
        <v>600</v>
      </c>
      <c r="G88" s="10" t="s">
        <v>601</v>
      </c>
      <c r="H88" s="10" t="s">
        <v>602</v>
      </c>
      <c r="I88" s="10" t="s">
        <v>603</v>
      </c>
      <c r="J88" s="10" t="s">
        <v>604</v>
      </c>
      <c r="K88" s="16" t="s">
        <v>117</v>
      </c>
      <c r="L88" s="13" t="s">
        <v>10</v>
      </c>
      <c r="M88" s="10"/>
      <c r="N88" s="10"/>
    </row>
    <row r="89" customFormat="false" ht="23.85" hidden="false" customHeight="false" outlineLevel="0" collapsed="false">
      <c r="A89" s="9" t="s">
        <v>605</v>
      </c>
      <c r="B89" s="10" t="s">
        <v>30</v>
      </c>
      <c r="C89" s="10" t="s">
        <v>62</v>
      </c>
      <c r="D89" s="14" t="s">
        <v>6</v>
      </c>
      <c r="E89" s="10" t="s">
        <v>606</v>
      </c>
      <c r="F89" s="10" t="s">
        <v>93</v>
      </c>
      <c r="G89" s="10" t="s">
        <v>607</v>
      </c>
      <c r="H89" s="10" t="s">
        <v>608</v>
      </c>
      <c r="I89" s="10" t="s">
        <v>609</v>
      </c>
      <c r="J89" s="10" t="s">
        <v>610</v>
      </c>
      <c r="K89" s="18" t="s">
        <v>342</v>
      </c>
      <c r="L89" s="13" t="s">
        <v>10</v>
      </c>
      <c r="M89" s="10"/>
      <c r="N89" s="10"/>
    </row>
    <row r="90" customFormat="false" ht="23.85" hidden="false" customHeight="false" outlineLevel="0" collapsed="false">
      <c r="A90" s="9" t="s">
        <v>611</v>
      </c>
      <c r="B90" s="10" t="s">
        <v>30</v>
      </c>
      <c r="C90" s="10" t="s">
        <v>62</v>
      </c>
      <c r="D90" s="14" t="s">
        <v>6</v>
      </c>
      <c r="E90" s="10" t="s">
        <v>612</v>
      </c>
      <c r="F90" s="10" t="s">
        <v>93</v>
      </c>
      <c r="G90" s="10" t="s">
        <v>613</v>
      </c>
      <c r="H90" s="10" t="s">
        <v>614</v>
      </c>
      <c r="I90" s="10" t="s">
        <v>389</v>
      </c>
      <c r="J90" s="10" t="s">
        <v>615</v>
      </c>
      <c r="K90" s="18" t="s">
        <v>342</v>
      </c>
      <c r="L90" s="13" t="s">
        <v>10</v>
      </c>
      <c r="M90" s="10"/>
      <c r="N90" s="10"/>
    </row>
    <row r="91" customFormat="false" ht="23.85" hidden="false" customHeight="false" outlineLevel="0" collapsed="false">
      <c r="A91" s="9" t="s">
        <v>616</v>
      </c>
      <c r="B91" s="10" t="s">
        <v>30</v>
      </c>
      <c r="C91" s="10" t="s">
        <v>62</v>
      </c>
      <c r="D91" s="17" t="s">
        <v>7</v>
      </c>
      <c r="E91" s="10" t="s">
        <v>617</v>
      </c>
      <c r="F91" s="10" t="s">
        <v>618</v>
      </c>
      <c r="G91" s="10" t="s">
        <v>619</v>
      </c>
      <c r="H91" s="10" t="s">
        <v>620</v>
      </c>
      <c r="I91" s="10" t="s">
        <v>621</v>
      </c>
      <c r="J91" s="10" t="s">
        <v>622</v>
      </c>
      <c r="K91" s="16" t="s">
        <v>117</v>
      </c>
      <c r="L91" s="13" t="s">
        <v>10</v>
      </c>
      <c r="M91" s="10"/>
      <c r="N91" s="10"/>
    </row>
    <row r="92" customFormat="false" ht="15" hidden="false" customHeight="false" outlineLevel="0" collapsed="false">
      <c r="A92" s="9" t="s">
        <v>623</v>
      </c>
      <c r="B92" s="10" t="s">
        <v>30</v>
      </c>
      <c r="C92" s="10" t="s">
        <v>62</v>
      </c>
      <c r="D92" s="17" t="s">
        <v>7</v>
      </c>
      <c r="E92" s="10" t="s">
        <v>624</v>
      </c>
      <c r="F92" s="10" t="s">
        <v>625</v>
      </c>
      <c r="G92" s="10" t="s">
        <v>626</v>
      </c>
      <c r="H92" s="10" t="s">
        <v>627</v>
      </c>
      <c r="I92" s="10" t="s">
        <v>628</v>
      </c>
      <c r="J92" s="10" t="s">
        <v>629</v>
      </c>
      <c r="K92" s="18" t="s">
        <v>342</v>
      </c>
      <c r="L92" s="13" t="s">
        <v>10</v>
      </c>
      <c r="M92" s="10"/>
      <c r="N92" s="10"/>
    </row>
    <row r="93" customFormat="false" ht="15" hidden="false" customHeight="false" outlineLevel="0" collapsed="false">
      <c r="A93" s="9" t="s">
        <v>630</v>
      </c>
      <c r="B93" s="10" t="s">
        <v>30</v>
      </c>
      <c r="C93" s="10" t="s">
        <v>62</v>
      </c>
      <c r="D93" s="17" t="s">
        <v>7</v>
      </c>
      <c r="E93" s="10" t="s">
        <v>631</v>
      </c>
      <c r="F93" s="10" t="s">
        <v>632</v>
      </c>
      <c r="G93" s="10" t="s">
        <v>633</v>
      </c>
      <c r="H93" s="10" t="s">
        <v>634</v>
      </c>
      <c r="I93" s="10" t="s">
        <v>635</v>
      </c>
      <c r="J93" s="10" t="s">
        <v>636</v>
      </c>
      <c r="K93" s="18" t="s">
        <v>342</v>
      </c>
      <c r="L93" s="13" t="s">
        <v>10</v>
      </c>
      <c r="M93" s="10"/>
      <c r="N93" s="10"/>
    </row>
    <row r="94" customFormat="false" ht="23.85" hidden="false" customHeight="false" outlineLevel="0" collapsed="false">
      <c r="A94" s="9" t="s">
        <v>637</v>
      </c>
      <c r="B94" s="10" t="s">
        <v>30</v>
      </c>
      <c r="C94" s="10" t="s">
        <v>62</v>
      </c>
      <c r="D94" s="17" t="s">
        <v>7</v>
      </c>
      <c r="E94" s="10" t="s">
        <v>638</v>
      </c>
      <c r="F94" s="10" t="s">
        <v>639</v>
      </c>
      <c r="G94" s="10" t="s">
        <v>640</v>
      </c>
      <c r="H94" s="10" t="s">
        <v>641</v>
      </c>
      <c r="I94" s="10" t="s">
        <v>642</v>
      </c>
      <c r="J94" s="10" t="s">
        <v>643</v>
      </c>
      <c r="K94" s="12" t="s">
        <v>69</v>
      </c>
      <c r="L94" s="13" t="s">
        <v>10</v>
      </c>
      <c r="M94" s="10"/>
      <c r="N94" s="10"/>
    </row>
    <row r="95" customFormat="false" ht="23.85" hidden="false" customHeight="false" outlineLevel="0" collapsed="false">
      <c r="A95" s="9" t="s">
        <v>644</v>
      </c>
      <c r="B95" s="10" t="s">
        <v>32</v>
      </c>
      <c r="C95" s="10" t="s">
        <v>62</v>
      </c>
      <c r="D95" s="11" t="s">
        <v>5</v>
      </c>
      <c r="E95" s="10" t="s">
        <v>645</v>
      </c>
      <c r="F95" s="10" t="s">
        <v>646</v>
      </c>
      <c r="G95" s="10" t="s">
        <v>647</v>
      </c>
      <c r="H95" s="10" t="s">
        <v>648</v>
      </c>
      <c r="I95" s="10" t="s">
        <v>649</v>
      </c>
      <c r="J95" s="10" t="s">
        <v>650</v>
      </c>
      <c r="K95" s="15" t="s">
        <v>90</v>
      </c>
      <c r="L95" s="13" t="s">
        <v>10</v>
      </c>
      <c r="M95" s="10"/>
      <c r="N95" s="10"/>
    </row>
    <row r="96" customFormat="false" ht="23.85" hidden="false" customHeight="false" outlineLevel="0" collapsed="false">
      <c r="A96" s="9" t="s">
        <v>651</v>
      </c>
      <c r="B96" s="10" t="s">
        <v>32</v>
      </c>
      <c r="C96" s="10" t="s">
        <v>62</v>
      </c>
      <c r="D96" s="11" t="s">
        <v>5</v>
      </c>
      <c r="E96" s="10" t="s">
        <v>652</v>
      </c>
      <c r="F96" s="10" t="s">
        <v>653</v>
      </c>
      <c r="G96" s="10" t="s">
        <v>647</v>
      </c>
      <c r="H96" s="10" t="s">
        <v>654</v>
      </c>
      <c r="I96" s="10" t="s">
        <v>649</v>
      </c>
      <c r="J96" s="10" t="s">
        <v>655</v>
      </c>
      <c r="K96" s="15" t="s">
        <v>90</v>
      </c>
      <c r="L96" s="13" t="s">
        <v>10</v>
      </c>
      <c r="M96" s="10"/>
      <c r="N96" s="10"/>
    </row>
    <row r="97" customFormat="false" ht="15" hidden="false" customHeight="false" outlineLevel="0" collapsed="false">
      <c r="A97" s="9" t="s">
        <v>656</v>
      </c>
      <c r="B97" s="10" t="s">
        <v>32</v>
      </c>
      <c r="C97" s="10" t="s">
        <v>62</v>
      </c>
      <c r="D97" s="11" t="s">
        <v>5</v>
      </c>
      <c r="E97" s="10" t="s">
        <v>657</v>
      </c>
      <c r="F97" s="10" t="s">
        <v>658</v>
      </c>
      <c r="G97" s="10" t="s">
        <v>647</v>
      </c>
      <c r="H97" s="10" t="s">
        <v>659</v>
      </c>
      <c r="I97" s="10" t="s">
        <v>660</v>
      </c>
      <c r="J97" s="10" t="s">
        <v>661</v>
      </c>
      <c r="K97" s="16" t="s">
        <v>117</v>
      </c>
      <c r="L97" s="13" t="s">
        <v>10</v>
      </c>
      <c r="M97" s="10"/>
      <c r="N97" s="10"/>
    </row>
    <row r="98" customFormat="false" ht="15" hidden="false" customHeight="false" outlineLevel="0" collapsed="false">
      <c r="A98" s="9" t="s">
        <v>662</v>
      </c>
      <c r="B98" s="10" t="s">
        <v>32</v>
      </c>
      <c r="C98" s="10" t="s">
        <v>62</v>
      </c>
      <c r="D98" s="14" t="s">
        <v>6</v>
      </c>
      <c r="E98" s="10" t="s">
        <v>663</v>
      </c>
      <c r="F98" s="10" t="s">
        <v>664</v>
      </c>
      <c r="G98" s="10" t="s">
        <v>647</v>
      </c>
      <c r="H98" s="10" t="s">
        <v>665</v>
      </c>
      <c r="I98" s="10" t="s">
        <v>666</v>
      </c>
      <c r="J98" s="10" t="s">
        <v>667</v>
      </c>
      <c r="K98" s="16" t="s">
        <v>117</v>
      </c>
      <c r="L98" s="13" t="s">
        <v>10</v>
      </c>
      <c r="M98" s="10"/>
      <c r="N98" s="10"/>
    </row>
    <row r="99" customFormat="false" ht="15" hidden="false" customHeight="false" outlineLevel="0" collapsed="false">
      <c r="A99" s="9" t="s">
        <v>668</v>
      </c>
      <c r="B99" s="10" t="s">
        <v>32</v>
      </c>
      <c r="C99" s="10" t="s">
        <v>62</v>
      </c>
      <c r="D99" s="14" t="s">
        <v>6</v>
      </c>
      <c r="E99" s="10" t="s">
        <v>669</v>
      </c>
      <c r="F99" s="10" t="s">
        <v>670</v>
      </c>
      <c r="G99" s="10" t="s">
        <v>647</v>
      </c>
      <c r="H99" s="10" t="s">
        <v>671</v>
      </c>
      <c r="I99" s="10" t="s">
        <v>666</v>
      </c>
      <c r="J99" s="10" t="s">
        <v>672</v>
      </c>
      <c r="K99" s="16" t="s">
        <v>117</v>
      </c>
      <c r="L99" s="13" t="s">
        <v>10</v>
      </c>
      <c r="M99" s="10"/>
      <c r="N99" s="10"/>
    </row>
    <row r="100" customFormat="false" ht="23.85" hidden="false" customHeight="false" outlineLevel="0" collapsed="false">
      <c r="A100" s="9" t="s">
        <v>673</v>
      </c>
      <c r="B100" s="10" t="s">
        <v>32</v>
      </c>
      <c r="C100" s="10" t="s">
        <v>62</v>
      </c>
      <c r="D100" s="17" t="s">
        <v>7</v>
      </c>
      <c r="E100" s="10" t="s">
        <v>674</v>
      </c>
      <c r="F100" s="10" t="s">
        <v>675</v>
      </c>
      <c r="G100" s="10" t="s">
        <v>647</v>
      </c>
      <c r="H100" s="10" t="s">
        <v>676</v>
      </c>
      <c r="I100" s="10" t="s">
        <v>677</v>
      </c>
      <c r="J100" s="10" t="s">
        <v>678</v>
      </c>
      <c r="K100" s="16" t="s">
        <v>117</v>
      </c>
      <c r="L100" s="13" t="s">
        <v>10</v>
      </c>
      <c r="M100" s="10"/>
      <c r="N100" s="10"/>
    </row>
    <row r="101" customFormat="false" ht="15" hidden="false" customHeight="false" outlineLevel="0" collapsed="false">
      <c r="A101" s="9" t="s">
        <v>679</v>
      </c>
      <c r="B101" s="10" t="s">
        <v>32</v>
      </c>
      <c r="C101" s="10" t="s">
        <v>62</v>
      </c>
      <c r="D101" s="17" t="s">
        <v>7</v>
      </c>
      <c r="E101" s="10" t="s">
        <v>680</v>
      </c>
      <c r="F101" s="10" t="s">
        <v>681</v>
      </c>
      <c r="G101" s="10" t="s">
        <v>647</v>
      </c>
      <c r="H101" s="10" t="s">
        <v>682</v>
      </c>
      <c r="I101" s="10" t="s">
        <v>683</v>
      </c>
      <c r="J101" s="10" t="s">
        <v>684</v>
      </c>
      <c r="K101" s="15" t="s">
        <v>90</v>
      </c>
      <c r="L101" s="13" t="s">
        <v>10</v>
      </c>
      <c r="M101" s="10"/>
      <c r="N101" s="10"/>
    </row>
    <row r="102" customFormat="false" ht="15" hidden="false" customHeight="false" outlineLevel="0" collapsed="false">
      <c r="A102" s="9" t="s">
        <v>685</v>
      </c>
      <c r="B102" s="10" t="s">
        <v>32</v>
      </c>
      <c r="C102" s="10" t="s">
        <v>62</v>
      </c>
      <c r="D102" s="17" t="s">
        <v>7</v>
      </c>
      <c r="E102" s="10" t="s">
        <v>686</v>
      </c>
      <c r="F102" s="10" t="s">
        <v>687</v>
      </c>
      <c r="G102" s="10" t="s">
        <v>647</v>
      </c>
      <c r="H102" s="10" t="s">
        <v>688</v>
      </c>
      <c r="I102" s="10" t="s">
        <v>689</v>
      </c>
      <c r="J102" s="10" t="s">
        <v>690</v>
      </c>
      <c r="K102" s="15" t="s">
        <v>90</v>
      </c>
      <c r="L102" s="13" t="s">
        <v>10</v>
      </c>
      <c r="M102" s="10"/>
      <c r="N102" s="10"/>
    </row>
    <row r="103" customFormat="false" ht="23.85" hidden="false" customHeight="false" outlineLevel="0" collapsed="false">
      <c r="A103" s="9" t="s">
        <v>691</v>
      </c>
      <c r="B103" s="10" t="s">
        <v>32</v>
      </c>
      <c r="C103" s="10" t="s">
        <v>62</v>
      </c>
      <c r="D103" s="17" t="s">
        <v>7</v>
      </c>
      <c r="E103" s="10" t="s">
        <v>692</v>
      </c>
      <c r="F103" s="10" t="s">
        <v>693</v>
      </c>
      <c r="G103" s="10" t="s">
        <v>694</v>
      </c>
      <c r="H103" s="10" t="s">
        <v>695</v>
      </c>
      <c r="I103" s="10" t="s">
        <v>696</v>
      </c>
      <c r="J103" s="10" t="s">
        <v>697</v>
      </c>
      <c r="K103" s="16" t="s">
        <v>117</v>
      </c>
      <c r="L103" s="13" t="s">
        <v>10</v>
      </c>
      <c r="M103" s="10"/>
      <c r="N103" s="10"/>
    </row>
    <row r="104" customFormat="false" ht="23.85" hidden="false" customHeight="false" outlineLevel="0" collapsed="false">
      <c r="A104" s="9" t="s">
        <v>698</v>
      </c>
      <c r="B104" s="10" t="s">
        <v>32</v>
      </c>
      <c r="C104" s="10" t="s">
        <v>62</v>
      </c>
      <c r="D104" s="17" t="s">
        <v>7</v>
      </c>
      <c r="E104" s="10" t="s">
        <v>699</v>
      </c>
      <c r="F104" s="10" t="s">
        <v>700</v>
      </c>
      <c r="G104" s="10" t="s">
        <v>647</v>
      </c>
      <c r="H104" s="10" t="s">
        <v>701</v>
      </c>
      <c r="I104" s="10" t="s">
        <v>389</v>
      </c>
      <c r="J104" s="10" t="s">
        <v>702</v>
      </c>
      <c r="K104" s="16" t="s">
        <v>117</v>
      </c>
      <c r="L104" s="13" t="s">
        <v>10</v>
      </c>
      <c r="M104" s="10"/>
      <c r="N104" s="10"/>
    </row>
    <row r="105" customFormat="false" ht="23.85" hidden="false" customHeight="false" outlineLevel="0" collapsed="false">
      <c r="A105" s="9" t="s">
        <v>703</v>
      </c>
      <c r="B105" s="10" t="s">
        <v>34</v>
      </c>
      <c r="C105" s="10" t="s">
        <v>704</v>
      </c>
      <c r="D105" s="11" t="s">
        <v>5</v>
      </c>
      <c r="E105" s="10" t="s">
        <v>705</v>
      </c>
      <c r="F105" s="10" t="s">
        <v>706</v>
      </c>
      <c r="G105" s="10" t="s">
        <v>707</v>
      </c>
      <c r="H105" s="10" t="s">
        <v>708</v>
      </c>
      <c r="I105" s="10" t="s">
        <v>709</v>
      </c>
      <c r="J105" s="10" t="s">
        <v>710</v>
      </c>
      <c r="K105" s="12" t="s">
        <v>69</v>
      </c>
      <c r="L105" s="13" t="s">
        <v>10</v>
      </c>
      <c r="M105" s="10"/>
      <c r="N105" s="10"/>
    </row>
    <row r="106" customFormat="false" ht="23.85" hidden="false" customHeight="false" outlineLevel="0" collapsed="false">
      <c r="A106" s="9" t="s">
        <v>711</v>
      </c>
      <c r="B106" s="10" t="s">
        <v>34</v>
      </c>
      <c r="C106" s="10" t="s">
        <v>704</v>
      </c>
      <c r="D106" s="14" t="s">
        <v>6</v>
      </c>
      <c r="E106" s="10" t="s">
        <v>712</v>
      </c>
      <c r="F106" s="10" t="s">
        <v>93</v>
      </c>
      <c r="G106" s="10" t="s">
        <v>713</v>
      </c>
      <c r="H106" s="10" t="s">
        <v>714</v>
      </c>
      <c r="I106" s="10" t="s">
        <v>715</v>
      </c>
      <c r="J106" s="10" t="s">
        <v>716</v>
      </c>
      <c r="K106" s="12" t="s">
        <v>69</v>
      </c>
      <c r="L106" s="13" t="s">
        <v>10</v>
      </c>
      <c r="M106" s="10"/>
      <c r="N106" s="10"/>
    </row>
    <row r="107" customFormat="false" ht="15" hidden="false" customHeight="false" outlineLevel="0" collapsed="false">
      <c r="A107" s="9" t="s">
        <v>717</v>
      </c>
      <c r="B107" s="10" t="s">
        <v>34</v>
      </c>
      <c r="C107" s="10" t="s">
        <v>704</v>
      </c>
      <c r="D107" s="14" t="s">
        <v>6</v>
      </c>
      <c r="E107" s="10" t="s">
        <v>718</v>
      </c>
      <c r="F107" s="10" t="s">
        <v>93</v>
      </c>
      <c r="G107" s="10" t="s">
        <v>719</v>
      </c>
      <c r="H107" s="10" t="s">
        <v>720</v>
      </c>
      <c r="I107" s="10" t="s">
        <v>721</v>
      </c>
      <c r="J107" s="10" t="s">
        <v>722</v>
      </c>
      <c r="K107" s="12" t="s">
        <v>69</v>
      </c>
      <c r="L107" s="13" t="s">
        <v>10</v>
      </c>
      <c r="M107" s="10"/>
      <c r="N107" s="10"/>
    </row>
    <row r="108" customFormat="false" ht="23.85" hidden="false" customHeight="false" outlineLevel="0" collapsed="false">
      <c r="A108" s="9" t="s">
        <v>723</v>
      </c>
      <c r="B108" s="10" t="s">
        <v>34</v>
      </c>
      <c r="C108" s="10" t="s">
        <v>704</v>
      </c>
      <c r="D108" s="14" t="s">
        <v>6</v>
      </c>
      <c r="E108" s="10" t="s">
        <v>724</v>
      </c>
      <c r="F108" s="10" t="s">
        <v>93</v>
      </c>
      <c r="G108" s="10" t="s">
        <v>725</v>
      </c>
      <c r="H108" s="10" t="s">
        <v>95</v>
      </c>
      <c r="I108" s="10" t="s">
        <v>726</v>
      </c>
      <c r="J108" s="10" t="s">
        <v>727</v>
      </c>
      <c r="K108" s="12" t="s">
        <v>69</v>
      </c>
      <c r="L108" s="13" t="s">
        <v>10</v>
      </c>
      <c r="M108" s="10"/>
      <c r="N108" s="10"/>
    </row>
    <row r="109" customFormat="false" ht="15" hidden="false" customHeight="false" outlineLevel="0" collapsed="false">
      <c r="A109" s="9" t="s">
        <v>728</v>
      </c>
      <c r="B109" s="10" t="s">
        <v>34</v>
      </c>
      <c r="C109" s="10" t="s">
        <v>704</v>
      </c>
      <c r="D109" s="14" t="s">
        <v>6</v>
      </c>
      <c r="E109" s="10" t="s">
        <v>729</v>
      </c>
      <c r="F109" s="10" t="s">
        <v>93</v>
      </c>
      <c r="G109" s="10" t="s">
        <v>730</v>
      </c>
      <c r="H109" s="10" t="s">
        <v>95</v>
      </c>
      <c r="I109" s="10" t="s">
        <v>726</v>
      </c>
      <c r="J109" s="10" t="s">
        <v>731</v>
      </c>
      <c r="K109" s="12" t="s">
        <v>69</v>
      </c>
      <c r="L109" s="13" t="s">
        <v>10</v>
      </c>
      <c r="M109" s="10"/>
      <c r="N109" s="10"/>
    </row>
    <row r="110" customFormat="false" ht="23.85" hidden="false" customHeight="false" outlineLevel="0" collapsed="false">
      <c r="A110" s="9" t="s">
        <v>732</v>
      </c>
      <c r="B110" s="10" t="s">
        <v>34</v>
      </c>
      <c r="C110" s="10" t="s">
        <v>704</v>
      </c>
      <c r="D110" s="17" t="s">
        <v>7</v>
      </c>
      <c r="E110" s="10" t="s">
        <v>733</v>
      </c>
      <c r="F110" s="10" t="s">
        <v>734</v>
      </c>
      <c r="G110" s="10" t="s">
        <v>735</v>
      </c>
      <c r="H110" s="10" t="s">
        <v>736</v>
      </c>
      <c r="I110" s="10" t="s">
        <v>737</v>
      </c>
      <c r="J110" s="10" t="s">
        <v>738</v>
      </c>
      <c r="K110" s="12" t="s">
        <v>69</v>
      </c>
      <c r="L110" s="13" t="s">
        <v>10</v>
      </c>
      <c r="M110" s="10"/>
      <c r="N110" s="10"/>
    </row>
    <row r="111" customFormat="false" ht="23.85" hidden="false" customHeight="false" outlineLevel="0" collapsed="false">
      <c r="A111" s="9" t="s">
        <v>739</v>
      </c>
      <c r="B111" s="10" t="s">
        <v>36</v>
      </c>
      <c r="C111" s="10" t="s">
        <v>704</v>
      </c>
      <c r="D111" s="11" t="s">
        <v>5</v>
      </c>
      <c r="E111" s="10" t="s">
        <v>740</v>
      </c>
      <c r="F111" s="10" t="s">
        <v>93</v>
      </c>
      <c r="G111" s="10" t="s">
        <v>741</v>
      </c>
      <c r="H111" s="10" t="s">
        <v>164</v>
      </c>
      <c r="I111" s="10" t="s">
        <v>742</v>
      </c>
      <c r="J111" s="10" t="s">
        <v>743</v>
      </c>
      <c r="K111" s="16" t="s">
        <v>117</v>
      </c>
      <c r="L111" s="13" t="s">
        <v>10</v>
      </c>
      <c r="M111" s="10"/>
      <c r="N111" s="10"/>
    </row>
    <row r="112" customFormat="false" ht="23.85" hidden="false" customHeight="false" outlineLevel="0" collapsed="false">
      <c r="A112" s="9" t="s">
        <v>744</v>
      </c>
      <c r="B112" s="10" t="s">
        <v>36</v>
      </c>
      <c r="C112" s="10" t="s">
        <v>704</v>
      </c>
      <c r="D112" s="14" t="s">
        <v>6</v>
      </c>
      <c r="E112" s="10" t="s">
        <v>745</v>
      </c>
      <c r="F112" s="10" t="s">
        <v>93</v>
      </c>
      <c r="G112" s="10" t="s">
        <v>746</v>
      </c>
      <c r="H112" s="10" t="s">
        <v>747</v>
      </c>
      <c r="I112" s="10" t="s">
        <v>389</v>
      </c>
      <c r="J112" s="10" t="s">
        <v>748</v>
      </c>
      <c r="K112" s="16" t="s">
        <v>117</v>
      </c>
      <c r="L112" s="13" t="s">
        <v>10</v>
      </c>
      <c r="M112" s="10"/>
      <c r="N112" s="10"/>
    </row>
    <row r="113" customFormat="false" ht="15" hidden="false" customHeight="false" outlineLevel="0" collapsed="false">
      <c r="A113" s="9" t="s">
        <v>749</v>
      </c>
      <c r="B113" s="10" t="s">
        <v>36</v>
      </c>
      <c r="C113" s="10" t="s">
        <v>704</v>
      </c>
      <c r="D113" s="14" t="s">
        <v>6</v>
      </c>
      <c r="E113" s="10" t="s">
        <v>750</v>
      </c>
      <c r="F113" s="10" t="s">
        <v>93</v>
      </c>
      <c r="G113" s="10" t="s">
        <v>751</v>
      </c>
      <c r="H113" s="10" t="s">
        <v>163</v>
      </c>
      <c r="I113" s="10" t="s">
        <v>262</v>
      </c>
      <c r="J113" s="10" t="s">
        <v>263</v>
      </c>
      <c r="K113" s="16" t="s">
        <v>117</v>
      </c>
      <c r="L113" s="13" t="s">
        <v>10</v>
      </c>
      <c r="M113" s="10"/>
      <c r="N113" s="10"/>
    </row>
    <row r="114" customFormat="false" ht="15" hidden="false" customHeight="false" outlineLevel="0" collapsed="false">
      <c r="A114" s="9" t="s">
        <v>752</v>
      </c>
      <c r="B114" s="10" t="s">
        <v>36</v>
      </c>
      <c r="C114" s="10" t="s">
        <v>704</v>
      </c>
      <c r="D114" s="14" t="s">
        <v>6</v>
      </c>
      <c r="E114" s="10" t="s">
        <v>753</v>
      </c>
      <c r="F114" s="10" t="s">
        <v>93</v>
      </c>
      <c r="G114" s="10" t="s">
        <v>754</v>
      </c>
      <c r="H114" s="10" t="s">
        <v>755</v>
      </c>
      <c r="I114" s="10" t="s">
        <v>389</v>
      </c>
      <c r="J114" s="10" t="s">
        <v>756</v>
      </c>
      <c r="K114" s="16" t="s">
        <v>117</v>
      </c>
      <c r="L114" s="13" t="s">
        <v>10</v>
      </c>
      <c r="M114" s="10"/>
      <c r="N114" s="10"/>
    </row>
    <row r="115" customFormat="false" ht="23.85" hidden="false" customHeight="false" outlineLevel="0" collapsed="false">
      <c r="A115" s="9" t="s">
        <v>757</v>
      </c>
      <c r="B115" s="10" t="s">
        <v>36</v>
      </c>
      <c r="C115" s="10" t="s">
        <v>704</v>
      </c>
      <c r="D115" s="14" t="s">
        <v>6</v>
      </c>
      <c r="E115" s="10" t="s">
        <v>758</v>
      </c>
      <c r="F115" s="10" t="s">
        <v>93</v>
      </c>
      <c r="G115" s="10" t="s">
        <v>759</v>
      </c>
      <c r="H115" s="10" t="s">
        <v>760</v>
      </c>
      <c r="I115" s="10" t="s">
        <v>761</v>
      </c>
      <c r="J115" s="10" t="s">
        <v>762</v>
      </c>
      <c r="K115" s="15" t="s">
        <v>90</v>
      </c>
      <c r="L115" s="13" t="s">
        <v>10</v>
      </c>
      <c r="M115" s="10"/>
      <c r="N115" s="10"/>
    </row>
    <row r="116" customFormat="false" ht="15" hidden="false" customHeight="false" outlineLevel="0" collapsed="false">
      <c r="A116" s="9" t="s">
        <v>763</v>
      </c>
      <c r="B116" s="10" t="s">
        <v>36</v>
      </c>
      <c r="C116" s="10" t="s">
        <v>704</v>
      </c>
      <c r="D116" s="17" t="s">
        <v>7</v>
      </c>
      <c r="E116" s="10" t="s">
        <v>764</v>
      </c>
      <c r="F116" s="10" t="s">
        <v>93</v>
      </c>
      <c r="G116" s="10" t="s">
        <v>765</v>
      </c>
      <c r="H116" s="10" t="s">
        <v>766</v>
      </c>
      <c r="I116" s="10" t="s">
        <v>767</v>
      </c>
      <c r="J116" s="10" t="s">
        <v>768</v>
      </c>
      <c r="K116" s="18" t="s">
        <v>342</v>
      </c>
      <c r="L116" s="13" t="s">
        <v>10</v>
      </c>
      <c r="M116" s="10"/>
      <c r="N116" s="10"/>
    </row>
    <row r="117" customFormat="false" ht="23.85" hidden="false" customHeight="false" outlineLevel="0" collapsed="false">
      <c r="A117" s="9" t="s">
        <v>769</v>
      </c>
      <c r="B117" s="10" t="s">
        <v>36</v>
      </c>
      <c r="C117" s="10" t="s">
        <v>704</v>
      </c>
      <c r="D117" s="17" t="s">
        <v>7</v>
      </c>
      <c r="E117" s="10" t="s">
        <v>770</v>
      </c>
      <c r="F117" s="10" t="s">
        <v>93</v>
      </c>
      <c r="G117" s="10" t="s">
        <v>771</v>
      </c>
      <c r="H117" s="10" t="s">
        <v>772</v>
      </c>
      <c r="I117" s="10" t="s">
        <v>346</v>
      </c>
      <c r="J117" s="10" t="s">
        <v>773</v>
      </c>
      <c r="K117" s="18" t="s">
        <v>342</v>
      </c>
      <c r="L117" s="13" t="s">
        <v>10</v>
      </c>
      <c r="M117" s="10"/>
      <c r="N117" s="10"/>
    </row>
    <row r="118" customFormat="false" ht="23.85" hidden="false" customHeight="false" outlineLevel="0" collapsed="false">
      <c r="A118" s="9" t="s">
        <v>774</v>
      </c>
      <c r="B118" s="10" t="s">
        <v>36</v>
      </c>
      <c r="C118" s="10" t="s">
        <v>704</v>
      </c>
      <c r="D118" s="17" t="s">
        <v>7</v>
      </c>
      <c r="E118" s="10" t="s">
        <v>775</v>
      </c>
      <c r="F118" s="10" t="s">
        <v>93</v>
      </c>
      <c r="G118" s="10" t="s">
        <v>776</v>
      </c>
      <c r="H118" s="10" t="s">
        <v>777</v>
      </c>
      <c r="I118" s="10" t="s">
        <v>455</v>
      </c>
      <c r="J118" s="10" t="s">
        <v>778</v>
      </c>
      <c r="K118" s="16" t="s">
        <v>117</v>
      </c>
      <c r="L118" s="13" t="s">
        <v>10</v>
      </c>
      <c r="M118" s="10"/>
      <c r="N118" s="10"/>
    </row>
    <row r="119" customFormat="false" ht="23.85" hidden="false" customHeight="false" outlineLevel="0" collapsed="false">
      <c r="A119" s="9" t="s">
        <v>779</v>
      </c>
      <c r="B119" s="10" t="s">
        <v>36</v>
      </c>
      <c r="C119" s="10" t="s">
        <v>704</v>
      </c>
      <c r="D119" s="17" t="s">
        <v>7</v>
      </c>
      <c r="E119" s="10" t="s">
        <v>780</v>
      </c>
      <c r="F119" s="10" t="s">
        <v>93</v>
      </c>
      <c r="G119" s="10" t="s">
        <v>781</v>
      </c>
      <c r="H119" s="10" t="s">
        <v>782</v>
      </c>
      <c r="I119" s="10" t="s">
        <v>783</v>
      </c>
      <c r="J119" s="10" t="s">
        <v>784</v>
      </c>
      <c r="K119" s="18" t="s">
        <v>342</v>
      </c>
      <c r="L119" s="13" t="s">
        <v>10</v>
      </c>
      <c r="M119" s="10"/>
      <c r="N119" s="10"/>
    </row>
    <row r="120" customFormat="false" ht="15" hidden="false" customHeight="false" outlineLevel="0" collapsed="false">
      <c r="A120" s="9" t="s">
        <v>785</v>
      </c>
      <c r="B120" s="10" t="s">
        <v>38</v>
      </c>
      <c r="C120" s="10" t="s">
        <v>704</v>
      </c>
      <c r="D120" s="11" t="s">
        <v>5</v>
      </c>
      <c r="E120" s="10" t="s">
        <v>786</v>
      </c>
      <c r="F120" s="10" t="s">
        <v>787</v>
      </c>
      <c r="G120" s="10" t="s">
        <v>788</v>
      </c>
      <c r="H120" s="10" t="s">
        <v>789</v>
      </c>
      <c r="I120" s="10" t="s">
        <v>790</v>
      </c>
      <c r="J120" s="10" t="s">
        <v>791</v>
      </c>
      <c r="K120" s="12" t="s">
        <v>69</v>
      </c>
      <c r="L120" s="13" t="s">
        <v>10</v>
      </c>
      <c r="M120" s="10"/>
      <c r="N120" s="10"/>
    </row>
    <row r="121" customFormat="false" ht="23.85" hidden="false" customHeight="false" outlineLevel="0" collapsed="false">
      <c r="A121" s="9" t="s">
        <v>792</v>
      </c>
      <c r="B121" s="10" t="s">
        <v>38</v>
      </c>
      <c r="C121" s="10" t="s">
        <v>704</v>
      </c>
      <c r="D121" s="11" t="s">
        <v>5</v>
      </c>
      <c r="E121" s="10" t="s">
        <v>793</v>
      </c>
      <c r="F121" s="10" t="s">
        <v>794</v>
      </c>
      <c r="G121" s="10" t="s">
        <v>795</v>
      </c>
      <c r="H121" s="10" t="s">
        <v>796</v>
      </c>
      <c r="I121" s="10" t="s">
        <v>797</v>
      </c>
      <c r="J121" s="10" t="s">
        <v>798</v>
      </c>
      <c r="K121" s="15" t="s">
        <v>90</v>
      </c>
      <c r="L121" s="13" t="s">
        <v>10</v>
      </c>
      <c r="M121" s="10"/>
      <c r="N121" s="10"/>
    </row>
    <row r="122" customFormat="false" ht="35.05" hidden="false" customHeight="false" outlineLevel="0" collapsed="false">
      <c r="A122" s="9" t="s">
        <v>799</v>
      </c>
      <c r="B122" s="10" t="s">
        <v>38</v>
      </c>
      <c r="C122" s="10" t="s">
        <v>704</v>
      </c>
      <c r="D122" s="14" t="s">
        <v>6</v>
      </c>
      <c r="E122" s="10" t="s">
        <v>800</v>
      </c>
      <c r="F122" s="10" t="s">
        <v>801</v>
      </c>
      <c r="G122" s="10" t="s">
        <v>802</v>
      </c>
      <c r="H122" s="10" t="s">
        <v>803</v>
      </c>
      <c r="I122" s="10" t="s">
        <v>804</v>
      </c>
      <c r="J122" s="10" t="s">
        <v>805</v>
      </c>
      <c r="K122" s="15" t="s">
        <v>90</v>
      </c>
      <c r="L122" s="13" t="s">
        <v>10</v>
      </c>
      <c r="M122" s="10"/>
      <c r="N122" s="10"/>
    </row>
    <row r="123" customFormat="false" ht="23.85" hidden="false" customHeight="false" outlineLevel="0" collapsed="false">
      <c r="A123" s="9" t="s">
        <v>806</v>
      </c>
      <c r="B123" s="10" t="s">
        <v>38</v>
      </c>
      <c r="C123" s="10" t="s">
        <v>704</v>
      </c>
      <c r="D123" s="14" t="s">
        <v>6</v>
      </c>
      <c r="E123" s="10" t="s">
        <v>807</v>
      </c>
      <c r="F123" s="10" t="s">
        <v>93</v>
      </c>
      <c r="G123" s="10" t="s">
        <v>808</v>
      </c>
      <c r="H123" s="10" t="s">
        <v>809</v>
      </c>
      <c r="I123" s="10" t="s">
        <v>810</v>
      </c>
      <c r="J123" s="10" t="s">
        <v>811</v>
      </c>
      <c r="K123" s="16" t="s">
        <v>117</v>
      </c>
      <c r="L123" s="13" t="s">
        <v>10</v>
      </c>
      <c r="M123" s="10"/>
      <c r="N123" s="10"/>
    </row>
    <row r="124" customFormat="false" ht="23.85" hidden="false" customHeight="false" outlineLevel="0" collapsed="false">
      <c r="A124" s="9" t="s">
        <v>812</v>
      </c>
      <c r="B124" s="10" t="s">
        <v>38</v>
      </c>
      <c r="C124" s="10" t="s">
        <v>704</v>
      </c>
      <c r="D124" s="17" t="s">
        <v>7</v>
      </c>
      <c r="E124" s="10" t="s">
        <v>813</v>
      </c>
      <c r="F124" s="10" t="s">
        <v>794</v>
      </c>
      <c r="G124" s="10" t="s">
        <v>814</v>
      </c>
      <c r="H124" s="10" t="s">
        <v>815</v>
      </c>
      <c r="I124" s="10" t="s">
        <v>816</v>
      </c>
      <c r="J124" s="10" t="s">
        <v>817</v>
      </c>
      <c r="K124" s="15" t="s">
        <v>90</v>
      </c>
      <c r="L124" s="13" t="s">
        <v>10</v>
      </c>
      <c r="M124" s="10"/>
      <c r="N124" s="10"/>
    </row>
    <row r="125" customFormat="false" ht="23.85" hidden="false" customHeight="false" outlineLevel="0" collapsed="false">
      <c r="A125" s="9" t="s">
        <v>818</v>
      </c>
      <c r="B125" s="10" t="s">
        <v>38</v>
      </c>
      <c r="C125" s="10" t="s">
        <v>704</v>
      </c>
      <c r="D125" s="17" t="s">
        <v>7</v>
      </c>
      <c r="E125" s="10" t="s">
        <v>819</v>
      </c>
      <c r="F125" s="10" t="s">
        <v>820</v>
      </c>
      <c r="G125" s="10" t="s">
        <v>821</v>
      </c>
      <c r="H125" s="10" t="s">
        <v>822</v>
      </c>
      <c r="I125" s="10" t="s">
        <v>823</v>
      </c>
      <c r="J125" s="10" t="s">
        <v>824</v>
      </c>
      <c r="K125" s="12" t="s">
        <v>69</v>
      </c>
      <c r="L125" s="13" t="s">
        <v>10</v>
      </c>
      <c r="M125" s="10"/>
      <c r="N125" s="10"/>
    </row>
    <row r="126" customFormat="false" ht="23.85" hidden="false" customHeight="false" outlineLevel="0" collapsed="false">
      <c r="A126" s="9" t="s">
        <v>825</v>
      </c>
      <c r="B126" s="10" t="s">
        <v>38</v>
      </c>
      <c r="C126" s="10" t="s">
        <v>704</v>
      </c>
      <c r="D126" s="17" t="s">
        <v>7</v>
      </c>
      <c r="E126" s="10" t="s">
        <v>826</v>
      </c>
      <c r="F126" s="10" t="s">
        <v>827</v>
      </c>
      <c r="G126" s="10" t="s">
        <v>828</v>
      </c>
      <c r="H126" s="10" t="s">
        <v>829</v>
      </c>
      <c r="I126" s="10" t="s">
        <v>830</v>
      </c>
      <c r="J126" s="10" t="s">
        <v>831</v>
      </c>
      <c r="K126" s="12" t="s">
        <v>69</v>
      </c>
      <c r="L126" s="13" t="s">
        <v>10</v>
      </c>
      <c r="M126" s="10"/>
      <c r="N126" s="10"/>
    </row>
    <row r="127" customFormat="false" ht="23.85" hidden="false" customHeight="false" outlineLevel="0" collapsed="false">
      <c r="A127" s="9" t="s">
        <v>832</v>
      </c>
      <c r="B127" s="10" t="s">
        <v>40</v>
      </c>
      <c r="C127" s="10" t="s">
        <v>704</v>
      </c>
      <c r="D127" s="11" t="s">
        <v>5</v>
      </c>
      <c r="E127" s="10" t="s">
        <v>833</v>
      </c>
      <c r="F127" s="10" t="s">
        <v>834</v>
      </c>
      <c r="G127" s="10" t="s">
        <v>835</v>
      </c>
      <c r="H127" s="10" t="s">
        <v>836</v>
      </c>
      <c r="I127" s="10" t="s">
        <v>837</v>
      </c>
      <c r="J127" s="10" t="s">
        <v>838</v>
      </c>
      <c r="K127" s="12" t="s">
        <v>69</v>
      </c>
      <c r="L127" s="13" t="s">
        <v>10</v>
      </c>
      <c r="M127" s="10"/>
      <c r="N127" s="10"/>
    </row>
    <row r="128" customFormat="false" ht="15" hidden="false" customHeight="false" outlineLevel="0" collapsed="false">
      <c r="A128" s="9" t="s">
        <v>839</v>
      </c>
      <c r="B128" s="10" t="s">
        <v>40</v>
      </c>
      <c r="C128" s="10" t="s">
        <v>704</v>
      </c>
      <c r="D128" s="11" t="s">
        <v>5</v>
      </c>
      <c r="E128" s="10" t="s">
        <v>840</v>
      </c>
      <c r="F128" s="10" t="s">
        <v>841</v>
      </c>
      <c r="G128" s="10" t="s">
        <v>842</v>
      </c>
      <c r="H128" s="10" t="s">
        <v>843</v>
      </c>
      <c r="I128" s="10" t="s">
        <v>844</v>
      </c>
      <c r="J128" s="10" t="s">
        <v>845</v>
      </c>
      <c r="K128" s="15" t="s">
        <v>90</v>
      </c>
      <c r="L128" s="13" t="s">
        <v>10</v>
      </c>
      <c r="M128" s="10"/>
      <c r="N128" s="10"/>
    </row>
    <row r="129" customFormat="false" ht="15" hidden="false" customHeight="false" outlineLevel="0" collapsed="false">
      <c r="A129" s="9" t="s">
        <v>846</v>
      </c>
      <c r="B129" s="10" t="s">
        <v>40</v>
      </c>
      <c r="C129" s="10" t="s">
        <v>704</v>
      </c>
      <c r="D129" s="11" t="s">
        <v>5</v>
      </c>
      <c r="E129" s="10" t="s">
        <v>847</v>
      </c>
      <c r="F129" s="10" t="s">
        <v>848</v>
      </c>
      <c r="G129" s="10" t="s">
        <v>647</v>
      </c>
      <c r="H129" s="10" t="s">
        <v>849</v>
      </c>
      <c r="I129" s="10" t="s">
        <v>844</v>
      </c>
      <c r="J129" s="10" t="s">
        <v>850</v>
      </c>
      <c r="K129" s="15" t="s">
        <v>90</v>
      </c>
      <c r="L129" s="13" t="s">
        <v>10</v>
      </c>
      <c r="M129" s="10"/>
      <c r="N129" s="10"/>
    </row>
    <row r="130" customFormat="false" ht="15" hidden="false" customHeight="false" outlineLevel="0" collapsed="false">
      <c r="A130" s="9" t="s">
        <v>851</v>
      </c>
      <c r="B130" s="10" t="s">
        <v>40</v>
      </c>
      <c r="C130" s="10" t="s">
        <v>704</v>
      </c>
      <c r="D130" s="11" t="s">
        <v>5</v>
      </c>
      <c r="E130" s="10" t="s">
        <v>852</v>
      </c>
      <c r="F130" s="10" t="s">
        <v>853</v>
      </c>
      <c r="G130" s="10" t="s">
        <v>854</v>
      </c>
      <c r="H130" s="10" t="s">
        <v>855</v>
      </c>
      <c r="I130" s="10" t="s">
        <v>856</v>
      </c>
      <c r="J130" s="10" t="s">
        <v>857</v>
      </c>
      <c r="K130" s="16" t="s">
        <v>117</v>
      </c>
      <c r="L130" s="13" t="s">
        <v>10</v>
      </c>
      <c r="M130" s="10"/>
      <c r="N130" s="10"/>
    </row>
    <row r="131" customFormat="false" ht="35.05" hidden="false" customHeight="false" outlineLevel="0" collapsed="false">
      <c r="A131" s="9" t="s">
        <v>858</v>
      </c>
      <c r="B131" s="10" t="s">
        <v>40</v>
      </c>
      <c r="C131" s="10" t="s">
        <v>704</v>
      </c>
      <c r="D131" s="11" t="s">
        <v>5</v>
      </c>
      <c r="E131" s="10" t="s">
        <v>859</v>
      </c>
      <c r="F131" s="10" t="s">
        <v>134</v>
      </c>
      <c r="G131" s="10" t="s">
        <v>860</v>
      </c>
      <c r="H131" s="10" t="s">
        <v>861</v>
      </c>
      <c r="I131" s="10" t="s">
        <v>862</v>
      </c>
      <c r="J131" s="10" t="s">
        <v>863</v>
      </c>
      <c r="K131" s="15" t="s">
        <v>90</v>
      </c>
      <c r="L131" s="13" t="s">
        <v>10</v>
      </c>
      <c r="M131" s="10"/>
      <c r="N131" s="10"/>
    </row>
    <row r="132" customFormat="false" ht="23.85" hidden="false" customHeight="false" outlineLevel="0" collapsed="false">
      <c r="A132" s="9" t="s">
        <v>864</v>
      </c>
      <c r="B132" s="10" t="s">
        <v>40</v>
      </c>
      <c r="C132" s="10" t="s">
        <v>704</v>
      </c>
      <c r="D132" s="14" t="s">
        <v>6</v>
      </c>
      <c r="E132" s="10" t="s">
        <v>865</v>
      </c>
      <c r="F132" s="10" t="s">
        <v>866</v>
      </c>
      <c r="G132" s="10" t="s">
        <v>867</v>
      </c>
      <c r="H132" s="10" t="s">
        <v>868</v>
      </c>
      <c r="I132" s="10" t="s">
        <v>869</v>
      </c>
      <c r="J132" s="10" t="s">
        <v>870</v>
      </c>
      <c r="K132" s="15" t="s">
        <v>90</v>
      </c>
      <c r="L132" s="13" t="s">
        <v>10</v>
      </c>
      <c r="M132" s="10"/>
      <c r="N132" s="10"/>
    </row>
    <row r="133" customFormat="false" ht="15" hidden="false" customHeight="false" outlineLevel="0" collapsed="false">
      <c r="A133" s="9" t="s">
        <v>871</v>
      </c>
      <c r="B133" s="10" t="s">
        <v>40</v>
      </c>
      <c r="C133" s="10" t="s">
        <v>704</v>
      </c>
      <c r="D133" s="17" t="s">
        <v>7</v>
      </c>
      <c r="E133" s="10" t="s">
        <v>872</v>
      </c>
      <c r="F133" s="10" t="s">
        <v>873</v>
      </c>
      <c r="G133" s="10" t="s">
        <v>874</v>
      </c>
      <c r="H133" s="10" t="s">
        <v>875</v>
      </c>
      <c r="I133" s="10" t="s">
        <v>876</v>
      </c>
      <c r="J133" s="10" t="s">
        <v>877</v>
      </c>
      <c r="K133" s="16" t="s">
        <v>117</v>
      </c>
      <c r="L133" s="13" t="s">
        <v>10</v>
      </c>
      <c r="M133" s="10"/>
      <c r="N133" s="10"/>
    </row>
    <row r="134" customFormat="false" ht="15" hidden="false" customHeight="false" outlineLevel="0" collapsed="false">
      <c r="A134" s="9" t="s">
        <v>878</v>
      </c>
      <c r="B134" s="10" t="s">
        <v>42</v>
      </c>
      <c r="C134" s="10" t="s">
        <v>704</v>
      </c>
      <c r="D134" s="11" t="s">
        <v>5</v>
      </c>
      <c r="E134" s="10" t="s">
        <v>879</v>
      </c>
      <c r="F134" s="10" t="s">
        <v>801</v>
      </c>
      <c r="G134" s="10" t="s">
        <v>880</v>
      </c>
      <c r="H134" s="10" t="s">
        <v>881</v>
      </c>
      <c r="I134" s="10" t="s">
        <v>882</v>
      </c>
      <c r="J134" s="10" t="s">
        <v>883</v>
      </c>
      <c r="K134" s="18" t="s">
        <v>342</v>
      </c>
      <c r="L134" s="13" t="s">
        <v>10</v>
      </c>
      <c r="M134" s="10"/>
      <c r="N134" s="10"/>
    </row>
    <row r="135" customFormat="false" ht="23.85" hidden="false" customHeight="false" outlineLevel="0" collapsed="false">
      <c r="A135" s="9" t="s">
        <v>884</v>
      </c>
      <c r="B135" s="10" t="s">
        <v>42</v>
      </c>
      <c r="C135" s="10" t="s">
        <v>704</v>
      </c>
      <c r="D135" s="11" t="s">
        <v>5</v>
      </c>
      <c r="E135" s="10" t="s">
        <v>885</v>
      </c>
      <c r="F135" s="10" t="s">
        <v>801</v>
      </c>
      <c r="G135" s="10" t="s">
        <v>886</v>
      </c>
      <c r="H135" s="10" t="s">
        <v>887</v>
      </c>
      <c r="I135" s="10" t="s">
        <v>888</v>
      </c>
      <c r="J135" s="10" t="s">
        <v>889</v>
      </c>
      <c r="K135" s="16" t="s">
        <v>117</v>
      </c>
      <c r="L135" s="13" t="s">
        <v>10</v>
      </c>
      <c r="M135" s="10"/>
      <c r="N135" s="10"/>
    </row>
    <row r="136" customFormat="false" ht="15" hidden="false" customHeight="false" outlineLevel="0" collapsed="false">
      <c r="A136" s="9" t="s">
        <v>890</v>
      </c>
      <c r="B136" s="10" t="s">
        <v>42</v>
      </c>
      <c r="C136" s="10" t="s">
        <v>704</v>
      </c>
      <c r="D136" s="14" t="s">
        <v>6</v>
      </c>
      <c r="E136" s="10" t="s">
        <v>891</v>
      </c>
      <c r="F136" s="10" t="s">
        <v>801</v>
      </c>
      <c r="G136" s="10" t="s">
        <v>892</v>
      </c>
      <c r="H136" s="10" t="s">
        <v>893</v>
      </c>
      <c r="I136" s="10" t="s">
        <v>894</v>
      </c>
      <c r="J136" s="10" t="s">
        <v>756</v>
      </c>
      <c r="K136" s="18" t="s">
        <v>342</v>
      </c>
      <c r="L136" s="13" t="s">
        <v>10</v>
      </c>
      <c r="M136" s="10"/>
      <c r="N136" s="10"/>
    </row>
    <row r="137" customFormat="false" ht="23.85" hidden="false" customHeight="false" outlineLevel="0" collapsed="false">
      <c r="A137" s="9" t="s">
        <v>895</v>
      </c>
      <c r="B137" s="10" t="s">
        <v>42</v>
      </c>
      <c r="C137" s="10" t="s">
        <v>704</v>
      </c>
      <c r="D137" s="14" t="s">
        <v>6</v>
      </c>
      <c r="E137" s="10" t="s">
        <v>896</v>
      </c>
      <c r="F137" s="10" t="s">
        <v>801</v>
      </c>
      <c r="G137" s="10" t="s">
        <v>897</v>
      </c>
      <c r="H137" s="10" t="s">
        <v>898</v>
      </c>
      <c r="I137" s="10" t="s">
        <v>899</v>
      </c>
      <c r="J137" s="10" t="s">
        <v>900</v>
      </c>
      <c r="K137" s="18" t="s">
        <v>342</v>
      </c>
      <c r="L137" s="13" t="s">
        <v>10</v>
      </c>
      <c r="M137" s="10"/>
      <c r="N137" s="10"/>
    </row>
    <row r="138" customFormat="false" ht="23.85" hidden="false" customHeight="false" outlineLevel="0" collapsed="false">
      <c r="A138" s="9" t="s">
        <v>901</v>
      </c>
      <c r="B138" s="10" t="s">
        <v>42</v>
      </c>
      <c r="C138" s="10" t="s">
        <v>704</v>
      </c>
      <c r="D138" s="17" t="s">
        <v>7</v>
      </c>
      <c r="E138" s="10" t="s">
        <v>902</v>
      </c>
      <c r="F138" s="10" t="s">
        <v>801</v>
      </c>
      <c r="G138" s="10" t="s">
        <v>903</v>
      </c>
      <c r="H138" s="10" t="s">
        <v>904</v>
      </c>
      <c r="I138" s="10" t="s">
        <v>905</v>
      </c>
      <c r="J138" s="10" t="s">
        <v>906</v>
      </c>
      <c r="K138" s="16" t="s">
        <v>117</v>
      </c>
      <c r="L138" s="13" t="s">
        <v>10</v>
      </c>
      <c r="M138" s="10"/>
      <c r="N138" s="10"/>
    </row>
    <row r="139" customFormat="false" ht="23.85" hidden="false" customHeight="false" outlineLevel="0" collapsed="false">
      <c r="A139" s="9" t="s">
        <v>907</v>
      </c>
      <c r="B139" s="10" t="s">
        <v>44</v>
      </c>
      <c r="C139" s="10" t="s">
        <v>704</v>
      </c>
      <c r="D139" s="17" t="s">
        <v>7</v>
      </c>
      <c r="E139" s="10" t="s">
        <v>908</v>
      </c>
      <c r="F139" s="10" t="s">
        <v>909</v>
      </c>
      <c r="G139" s="10" t="s">
        <v>910</v>
      </c>
      <c r="H139" s="10" t="s">
        <v>911</v>
      </c>
      <c r="I139" s="10" t="s">
        <v>912</v>
      </c>
      <c r="J139" s="10" t="s">
        <v>913</v>
      </c>
      <c r="K139" s="16" t="s">
        <v>117</v>
      </c>
      <c r="L139" s="13" t="s">
        <v>10</v>
      </c>
      <c r="M139" s="10"/>
      <c r="N139" s="10"/>
    </row>
    <row r="140" customFormat="false" ht="23.85" hidden="false" customHeight="false" outlineLevel="0" collapsed="false">
      <c r="A140" s="9" t="s">
        <v>914</v>
      </c>
      <c r="B140" s="10" t="s">
        <v>44</v>
      </c>
      <c r="C140" s="10" t="s">
        <v>704</v>
      </c>
      <c r="D140" s="17" t="s">
        <v>7</v>
      </c>
      <c r="E140" s="10" t="s">
        <v>915</v>
      </c>
      <c r="F140" s="10" t="s">
        <v>916</v>
      </c>
      <c r="G140" s="10" t="s">
        <v>917</v>
      </c>
      <c r="H140" s="10" t="s">
        <v>918</v>
      </c>
      <c r="I140" s="10" t="s">
        <v>919</v>
      </c>
      <c r="J140" s="10" t="s">
        <v>920</v>
      </c>
      <c r="K140" s="16" t="s">
        <v>117</v>
      </c>
      <c r="L140" s="13" t="s">
        <v>10</v>
      </c>
      <c r="M140" s="10"/>
      <c r="N140" s="10"/>
    </row>
    <row r="141" customFormat="false" ht="23.85" hidden="false" customHeight="false" outlineLevel="0" collapsed="false">
      <c r="A141" s="9" t="s">
        <v>921</v>
      </c>
      <c r="B141" s="10" t="s">
        <v>44</v>
      </c>
      <c r="C141" s="10" t="s">
        <v>704</v>
      </c>
      <c r="D141" s="17" t="s">
        <v>7</v>
      </c>
      <c r="E141" s="10" t="s">
        <v>922</v>
      </c>
      <c r="F141" s="10" t="s">
        <v>801</v>
      </c>
      <c r="G141" s="10" t="s">
        <v>923</v>
      </c>
      <c r="H141" s="10" t="s">
        <v>924</v>
      </c>
      <c r="I141" s="10" t="s">
        <v>925</v>
      </c>
      <c r="J141" s="10" t="s">
        <v>926</v>
      </c>
      <c r="K141" s="15" t="s">
        <v>90</v>
      </c>
      <c r="L141" s="13" t="s">
        <v>10</v>
      </c>
      <c r="M141" s="10"/>
      <c r="N141" s="10"/>
    </row>
    <row r="142" customFormat="false" ht="23.85" hidden="false" customHeight="false" outlineLevel="0" collapsed="false">
      <c r="A142" s="9" t="s">
        <v>927</v>
      </c>
      <c r="B142" s="10" t="s">
        <v>44</v>
      </c>
      <c r="C142" s="10" t="s">
        <v>704</v>
      </c>
      <c r="D142" s="17" t="s">
        <v>7</v>
      </c>
      <c r="E142" s="10" t="s">
        <v>928</v>
      </c>
      <c r="F142" s="10" t="s">
        <v>929</v>
      </c>
      <c r="G142" s="10" t="s">
        <v>930</v>
      </c>
      <c r="H142" s="10" t="s">
        <v>931</v>
      </c>
      <c r="I142" s="10" t="s">
        <v>932</v>
      </c>
      <c r="J142" s="10" t="s">
        <v>933</v>
      </c>
      <c r="K142" s="16" t="s">
        <v>117</v>
      </c>
      <c r="L142" s="13" t="s">
        <v>10</v>
      </c>
      <c r="M142" s="10"/>
      <c r="N142" s="10"/>
    </row>
  </sheetData>
  <autoFilter ref="A1:N142"/>
  <conditionalFormatting sqref="L2:L142">
    <cfRule type="cellIs" priority="2" operator="equal" aboveAverage="0" equalAverage="0" bottom="0" percent="0" rank="0" text="" dxfId="10">
      <formula>"Passou"</formula>
    </cfRule>
    <cfRule type="cellIs" priority="3" operator="equal" aboveAverage="0" equalAverage="0" bottom="0" percent="0" rank="0" text="" dxfId="11">
      <formula>"Falhou"</formula>
    </cfRule>
    <cfRule type="cellIs" priority="4" operator="equal" aboveAverage="0" equalAverage="0" bottom="0" percent="0" rank="0" text="" dxfId="12">
      <formula>"Bloqueado"</formula>
    </cfRule>
  </conditionalFormatting>
  <dataValidations count="1">
    <dataValidation allowBlank="false" errorStyle="stop" operator="between" showDropDown="false" showErrorMessage="false" showInputMessage="false" sqref="L2:L142" type="list">
      <formula1>"Pendente,Passou,Falhou,Bloqueado,N/A"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92"/>
  </cols>
  <sheetData>
    <row r="1" customFormat="false" ht="15" hidden="false" customHeight="false" outlineLevel="0" collapsed="false">
      <c r="A1" s="19" t="s">
        <v>934</v>
      </c>
    </row>
    <row r="2" customFormat="false" ht="15" hidden="false" customHeight="false" outlineLevel="0" collapsed="false">
      <c r="A2" s="20" t="s">
        <v>935</v>
      </c>
      <c r="B2" s="20" t="s">
        <v>936</v>
      </c>
    </row>
    <row r="3" customFormat="false" ht="23.85" hidden="false" customHeight="false" outlineLevel="0" collapsed="false">
      <c r="A3" s="21" t="s">
        <v>937</v>
      </c>
      <c r="B3" s="22" t="s">
        <v>938</v>
      </c>
    </row>
    <row r="4" customFormat="false" ht="23.85" hidden="false" customHeight="false" outlineLevel="0" collapsed="false">
      <c r="A4" s="21" t="s">
        <v>939</v>
      </c>
      <c r="B4" s="22" t="s">
        <v>940</v>
      </c>
    </row>
    <row r="5" customFormat="false" ht="23.85" hidden="false" customHeight="false" outlineLevel="0" collapsed="false">
      <c r="A5" s="21" t="s">
        <v>941</v>
      </c>
      <c r="B5" s="22" t="s">
        <v>942</v>
      </c>
    </row>
    <row r="6" customFormat="false" ht="23.85" hidden="false" customHeight="false" outlineLevel="0" collapsed="false">
      <c r="A6" s="21" t="s">
        <v>943</v>
      </c>
      <c r="B6" s="22" t="s">
        <v>944</v>
      </c>
    </row>
    <row r="7" customFormat="false" ht="23.85" hidden="false" customHeight="false" outlineLevel="0" collapsed="false">
      <c r="A7" s="21" t="s">
        <v>945</v>
      </c>
      <c r="B7" s="22" t="s">
        <v>946</v>
      </c>
    </row>
    <row r="8" customFormat="false" ht="23.85" hidden="false" customHeight="false" outlineLevel="0" collapsed="false">
      <c r="A8" s="21" t="s">
        <v>947</v>
      </c>
      <c r="B8" s="22" t="s">
        <v>948</v>
      </c>
    </row>
    <row r="9" customFormat="false" ht="23.85" hidden="false" customHeight="false" outlineLevel="0" collapsed="false">
      <c r="A9" s="21" t="s">
        <v>949</v>
      </c>
      <c r="B9" s="22" t="s">
        <v>950</v>
      </c>
    </row>
    <row r="10" customFormat="false" ht="15" hidden="false" customHeight="false" outlineLevel="0" collapsed="false">
      <c r="A10" s="21" t="s">
        <v>951</v>
      </c>
      <c r="B10" s="22" t="s">
        <v>952</v>
      </c>
    </row>
    <row r="12" customFormat="false" ht="15" hidden="false" customHeight="false" outlineLevel="0" collapsed="false">
      <c r="A12" s="19" t="s">
        <v>953</v>
      </c>
    </row>
    <row r="13" customFormat="false" ht="15" hidden="false" customHeight="false" outlineLevel="0" collapsed="false">
      <c r="A13" s="20" t="s">
        <v>954</v>
      </c>
      <c r="B13" s="20" t="s">
        <v>955</v>
      </c>
    </row>
    <row r="14" customFormat="false" ht="23.85" hidden="false" customHeight="false" outlineLevel="0" collapsed="false">
      <c r="A14" s="21" t="s">
        <v>69</v>
      </c>
      <c r="B14" s="22" t="s">
        <v>956</v>
      </c>
    </row>
    <row r="15" customFormat="false" ht="15" hidden="false" customHeight="false" outlineLevel="0" collapsed="false">
      <c r="A15" s="21" t="s">
        <v>90</v>
      </c>
      <c r="B15" s="22" t="s">
        <v>957</v>
      </c>
    </row>
    <row r="16" customFormat="false" ht="15" hidden="false" customHeight="false" outlineLevel="0" collapsed="false">
      <c r="A16" s="21" t="s">
        <v>117</v>
      </c>
      <c r="B16" s="22" t="s">
        <v>958</v>
      </c>
    </row>
    <row r="17" customFormat="false" ht="15" hidden="false" customHeight="false" outlineLevel="0" collapsed="false">
      <c r="A17" s="21" t="s">
        <v>342</v>
      </c>
      <c r="B17" s="22" t="s">
        <v>959</v>
      </c>
    </row>
    <row r="19" customFormat="false" ht="15" hidden="false" customHeight="false" outlineLevel="0" collapsed="false">
      <c r="A19" s="19" t="s">
        <v>960</v>
      </c>
    </row>
    <row r="20" customFormat="false" ht="15" hidden="false" customHeight="false" outlineLevel="0" collapsed="false">
      <c r="A20" s="20" t="s">
        <v>961</v>
      </c>
      <c r="B20" s="20" t="s">
        <v>936</v>
      </c>
    </row>
    <row r="21" customFormat="false" ht="15" hidden="false" customHeight="false" outlineLevel="0" collapsed="false">
      <c r="A21" s="21" t="s">
        <v>962</v>
      </c>
      <c r="B21" s="22" t="s">
        <v>963</v>
      </c>
    </row>
    <row r="22" customFormat="false" ht="23.85" hidden="false" customHeight="false" outlineLevel="0" collapsed="false">
      <c r="A22" s="21" t="s">
        <v>964</v>
      </c>
      <c r="B22" s="22" t="s">
        <v>965</v>
      </c>
    </row>
    <row r="23" customFormat="false" ht="15" hidden="false" customHeight="false" outlineLevel="0" collapsed="false">
      <c r="A23" s="21" t="s">
        <v>966</v>
      </c>
      <c r="B23" s="22" t="s">
        <v>967</v>
      </c>
    </row>
    <row r="24" customFormat="false" ht="15" hidden="false" customHeight="false" outlineLevel="0" collapsed="false">
      <c r="A24" s="21" t="s">
        <v>968</v>
      </c>
      <c r="B24" s="22" t="s">
        <v>969</v>
      </c>
    </row>
    <row r="25" customFormat="false" ht="15" hidden="false" customHeight="false" outlineLevel="0" collapsed="false">
      <c r="A25" s="21" t="s">
        <v>970</v>
      </c>
      <c r="B25" s="22" t="s">
        <v>971</v>
      </c>
    </row>
    <row r="26" customFormat="false" ht="15" hidden="false" customHeight="false" outlineLevel="0" collapsed="false">
      <c r="A26" s="21" t="s">
        <v>972</v>
      </c>
      <c r="B26" s="22" t="s">
        <v>973</v>
      </c>
    </row>
    <row r="27" customFormat="false" ht="15" hidden="false" customHeight="false" outlineLevel="0" collapsed="false">
      <c r="A27" s="21" t="s">
        <v>974</v>
      </c>
      <c r="B27" s="22" t="s">
        <v>975</v>
      </c>
    </row>
    <row r="28" customFormat="false" ht="15" hidden="false" customHeight="false" outlineLevel="0" collapsed="false">
      <c r="A28" s="21" t="s">
        <v>976</v>
      </c>
      <c r="B28" s="22" t="s">
        <v>977</v>
      </c>
    </row>
    <row r="30" customFormat="false" ht="15" hidden="false" customHeight="false" outlineLevel="0" collapsed="false">
      <c r="A30" s="19" t="s">
        <v>978</v>
      </c>
    </row>
    <row r="31" customFormat="false" ht="15" hidden="false" customHeight="false" outlineLevel="0" collapsed="false">
      <c r="A31" s="20" t="s">
        <v>979</v>
      </c>
      <c r="B31" s="20" t="s">
        <v>980</v>
      </c>
    </row>
    <row r="32" customFormat="false" ht="15" hidden="false" customHeight="false" outlineLevel="0" collapsed="false">
      <c r="A32" s="21" t="s">
        <v>981</v>
      </c>
      <c r="B32" s="22" t="s">
        <v>982</v>
      </c>
    </row>
    <row r="33" customFormat="false" ht="23.85" hidden="false" customHeight="false" outlineLevel="0" collapsed="false">
      <c r="A33" s="21" t="s">
        <v>983</v>
      </c>
      <c r="B33" s="22" t="s">
        <v>984</v>
      </c>
    </row>
    <row r="34" customFormat="false" ht="15" hidden="false" customHeight="false" outlineLevel="0" collapsed="false">
      <c r="A34" s="21" t="s">
        <v>985</v>
      </c>
      <c r="B34" s="22" t="s">
        <v>986</v>
      </c>
    </row>
    <row r="35" customFormat="false" ht="15" hidden="false" customHeight="false" outlineLevel="0" collapsed="false">
      <c r="A35" s="21" t="s">
        <v>987</v>
      </c>
      <c r="B35" s="22" t="s">
        <v>988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2026-10-13T00:14:29Z</dcterms:created>
  <dc:creator>openpyxl</dc:creator>
  <dc:description/>
  <dc:language>en-US</dc:language>
  <cp:lastModifiedBy/>
  <dcterms:modified xsi:type="dcterms:W3CDTF">2026-10-13T00:14:29Z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